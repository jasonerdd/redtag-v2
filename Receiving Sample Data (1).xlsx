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bacorp.sharepoint.com/sites/AVADashboards/Shared Documents/6. Project 2026/"/>
    </mc:Choice>
  </mc:AlternateContent>
  <xr:revisionPtr revIDLastSave="0" documentId="8_{1A6F1292-1B5E-4F2D-97E5-447D2AD4CE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<sst xmlns="http://schemas.openxmlformats.org/spreadsheetml/2006/main" count="623" uniqueCount="263">
  <si>
    <t>CUSTOMER</t>
  </si>
  <si>
    <t>MODEL</t>
  </si>
  <si>
    <t>VEHICLE TYPE</t>
  </si>
  <si>
    <t>LOT NO.</t>
  </si>
  <si>
    <t>CHASSIS NO</t>
  </si>
  <si>
    <t>ENGINE NO</t>
  </si>
  <si>
    <t xml:space="preserve">CKD ARRIVAL  DATE </t>
  </si>
  <si>
    <t>Scania R420 EURO 3</t>
  </si>
  <si>
    <t>R 420</t>
  </si>
  <si>
    <t>KET 002/26</t>
  </si>
  <si>
    <t>9BSR6X40004114919</t>
  </si>
  <si>
    <t>Scania F360 Chassis</t>
  </si>
  <si>
    <t>F 360</t>
  </si>
  <si>
    <t>KEB0017/25</t>
  </si>
  <si>
    <t>9BSF6X20004109901</t>
  </si>
  <si>
    <t>9BSF6X20004109902</t>
  </si>
  <si>
    <t>9BSF6X20004109899</t>
  </si>
  <si>
    <t>9BSF6X20004109898</t>
  </si>
  <si>
    <t>9BSF6X20004109905</t>
  </si>
  <si>
    <t>9BSF6X20004109906</t>
  </si>
  <si>
    <t>9BSF6X20004109903</t>
  </si>
  <si>
    <t>9BSF6X20004109904</t>
  </si>
  <si>
    <t>9BSF6X20004109900</t>
  </si>
  <si>
    <t>Fuso FI 1217 Model</t>
  </si>
  <si>
    <t>FIV1PKX2RB11</t>
  </si>
  <si>
    <t>LOT 401</t>
  </si>
  <si>
    <t>MEC0574AKSP016939</t>
  </si>
  <si>
    <t>400922D0070381</t>
  </si>
  <si>
    <t>MEC0574AKSP016940</t>
  </si>
  <si>
    <t>400922D0070393</t>
  </si>
  <si>
    <t>MEC0574AKSP016941</t>
  </si>
  <si>
    <t>400922D0070387</t>
  </si>
  <si>
    <t>MEC0574AKSP016942</t>
  </si>
  <si>
    <t>400922D0070380</t>
  </si>
  <si>
    <t>MEC0574AKSP016943</t>
  </si>
  <si>
    <t>400922D0070397</t>
  </si>
  <si>
    <t>MEC0574AKSP016932</t>
  </si>
  <si>
    <t>400922D0070401</t>
  </si>
  <si>
    <t>MEC0574AKSP016933</t>
  </si>
  <si>
    <t>400922D0070391</t>
  </si>
  <si>
    <t>MEC0574AKSP016934</t>
  </si>
  <si>
    <t>400922D0070385</t>
  </si>
  <si>
    <t>MEC0574AKSP016935</t>
  </si>
  <si>
    <t>400922D0070395</t>
  </si>
  <si>
    <t>MEC0574AKSP016936</t>
  </si>
  <si>
    <t>400922D0070399</t>
  </si>
  <si>
    <t>MEC0574AKSP016937</t>
  </si>
  <si>
    <t>400922D0070382</t>
  </si>
  <si>
    <t>MEC0574AKSP016938</t>
  </si>
  <si>
    <t>400922D0070389</t>
  </si>
  <si>
    <t>KEB 0014/25</t>
  </si>
  <si>
    <t>9BSF6X20004108750</t>
  </si>
  <si>
    <t>9BSF6X20004108751</t>
  </si>
  <si>
    <t>9BSF6X20004108749</t>
  </si>
  <si>
    <t>KEB 0018/25</t>
  </si>
  <si>
    <t>9BSF6X20004110310</t>
  </si>
  <si>
    <t>9BSF6X20004110311</t>
  </si>
  <si>
    <t>9BSF6X20004110303</t>
  </si>
  <si>
    <t>9BSF6X20004110304</t>
  </si>
  <si>
    <t>LOT 402</t>
  </si>
  <si>
    <t>MEC0574ALSP017069</t>
  </si>
  <si>
    <t>400922D0070657</t>
  </si>
  <si>
    <t>MEC0574ALSP017062</t>
  </si>
  <si>
    <t>400922D0070650</t>
  </si>
  <si>
    <t>MEC0574ALSP017063</t>
  </si>
  <si>
    <t>400922D0070654</t>
  </si>
  <si>
    <t>MEC0574ALSP017064</t>
  </si>
  <si>
    <t>400922D0070651</t>
  </si>
  <si>
    <t>MEC0574ALSP017065</t>
  </si>
  <si>
    <t>400922D0070659</t>
  </si>
  <si>
    <t>MEC0574ALSP017066</t>
  </si>
  <si>
    <t>400922D0070658</t>
  </si>
  <si>
    <t>MEC0574ALSP017067</t>
  </si>
  <si>
    <t>400922D0070653</t>
  </si>
  <si>
    <t>MEC0574ALSP017068</t>
  </si>
  <si>
    <t>400922D0070656</t>
  </si>
  <si>
    <t>MEC0574ALSP017058</t>
  </si>
  <si>
    <t>400922D0070655</t>
  </si>
  <si>
    <t>MEC0574ALSP017059</t>
  </si>
  <si>
    <t>400922D0070652</t>
  </si>
  <si>
    <t>MEC0574ALSP017060</t>
  </si>
  <si>
    <t>400922D0070660</t>
  </si>
  <si>
    <t>MEC0574ALSP017061</t>
  </si>
  <si>
    <t>400922D0070649</t>
  </si>
  <si>
    <t>KEB 0019/25</t>
  </si>
  <si>
    <t>9BSF6X20004110309</t>
  </si>
  <si>
    <t>9BSF6X20004110307</t>
  </si>
  <si>
    <t>9BSF6X20004110308</t>
  </si>
  <si>
    <t>KEB 0022/25</t>
  </si>
  <si>
    <t>9BSF6X20004111655</t>
  </si>
  <si>
    <t>Mahindra Scorpio Single Cab Model</t>
  </si>
  <si>
    <t>MHAWK S/C</t>
  </si>
  <si>
    <t>LOT 59</t>
  </si>
  <si>
    <t>MA1RA4CY2T2033340</t>
  </si>
  <si>
    <t>CYS4L12798</t>
  </si>
  <si>
    <t>MA1RA4CY2T2033341</t>
  </si>
  <si>
    <t>CYS4L12808</t>
  </si>
  <si>
    <t>MA1RA4CY2T2033332</t>
  </si>
  <si>
    <t>CYS4L12778</t>
  </si>
  <si>
    <t>MA1RA4CY2T2033333</t>
  </si>
  <si>
    <t>CYS4L12779</t>
  </si>
  <si>
    <t>MA1RA4CY2T2033334</t>
  </si>
  <si>
    <t>CYS4L12786</t>
  </si>
  <si>
    <t>MA1RA4CY2T2033335</t>
  </si>
  <si>
    <t>CYS4L12787</t>
  </si>
  <si>
    <t>MA1RA4CY2T2033336</t>
  </si>
  <si>
    <t>CYS4L12789</t>
  </si>
  <si>
    <t>MA1RA4CY2T2033337</t>
  </si>
  <si>
    <t>CYS4L12792</t>
  </si>
  <si>
    <t>MA1RA4CY2T2033338</t>
  </si>
  <si>
    <t>CYS4L12794</t>
  </si>
  <si>
    <t>MA1RA4CY2T2033339</t>
  </si>
  <si>
    <t>CYS4L12795</t>
  </si>
  <si>
    <t>MA1RA4CY2T2033330</t>
  </si>
  <si>
    <t>CYS4L12765</t>
  </si>
  <si>
    <t>MA1RA4CY2T2033331</t>
  </si>
  <si>
    <t>CYS4L12776</t>
  </si>
  <si>
    <t>KEB 0021/25</t>
  </si>
  <si>
    <t>9BSF6X20004110695</t>
  </si>
  <si>
    <t>9BSF6X20004110699</t>
  </si>
  <si>
    <t>9BSF6X20004110700</t>
  </si>
  <si>
    <t>9BSF6X20004110692</t>
  </si>
  <si>
    <t>9BSF6X20004110694</t>
  </si>
  <si>
    <t>9BSF6X20004110697</t>
  </si>
  <si>
    <t>9BSF6X20004110698</t>
  </si>
  <si>
    <t>9BSF6X20004110693</t>
  </si>
  <si>
    <t>9BSF6X20004110696</t>
  </si>
  <si>
    <t>LOT 404</t>
  </si>
  <si>
    <t>MEC0574ALSP017156</t>
  </si>
  <si>
    <t>400922D0070876</t>
  </si>
  <si>
    <t>MEC0574ALSP017157</t>
  </si>
  <si>
    <t>400922D0070867</t>
  </si>
  <si>
    <t>MEC0574ALSP017158</t>
  </si>
  <si>
    <t>400922D0070843</t>
  </si>
  <si>
    <t>MEC0574ALSP017159</t>
  </si>
  <si>
    <t>400922D0070873</t>
  </si>
  <si>
    <t>MEC0574ALSP017148</t>
  </si>
  <si>
    <t>400922D0070849</t>
  </si>
  <si>
    <t>MEC0574ALSP017149</t>
  </si>
  <si>
    <t>400922D0070852</t>
  </si>
  <si>
    <t>MEC0574ALSP017150</t>
  </si>
  <si>
    <t>400922D0070870</t>
  </si>
  <si>
    <t>MEC0574ALSP017151</t>
  </si>
  <si>
    <t>400922D0070861</t>
  </si>
  <si>
    <t>MEC0574ALSP017152</t>
  </si>
  <si>
    <t>400922D0070846</t>
  </si>
  <si>
    <t>MEC0574ALSP017153</t>
  </si>
  <si>
    <t>400922D0070855</t>
  </si>
  <si>
    <t>MEC0574ALSP017154</t>
  </si>
  <si>
    <t>400922D0070864</t>
  </si>
  <si>
    <t>MEC0574ALSP017155</t>
  </si>
  <si>
    <t>400922D0070858</t>
  </si>
  <si>
    <t>LOT 403</t>
  </si>
  <si>
    <t>MEC0574ALSP017110</t>
  </si>
  <si>
    <t>400922D0070769</t>
  </si>
  <si>
    <t>MEC0574ALSP017111</t>
  </si>
  <si>
    <t>400922D0070748</t>
  </si>
  <si>
    <t>MEC0574ALSP017112</t>
  </si>
  <si>
    <t>400922D0070772</t>
  </si>
  <si>
    <t>MEC0574ALSP017113</t>
  </si>
  <si>
    <t>400922D0070751</t>
  </si>
  <si>
    <t>MEC0574ALSP017114</t>
  </si>
  <si>
    <t>400922D0070775</t>
  </si>
  <si>
    <t>MEC0574ALSP017115</t>
  </si>
  <si>
    <t>400922D0070745</t>
  </si>
  <si>
    <t>MEC0574ALSP017116</t>
  </si>
  <si>
    <t>400922D0070754</t>
  </si>
  <si>
    <t>MEC0574ALSP017117</t>
  </si>
  <si>
    <t>400922D0070763</t>
  </si>
  <si>
    <t>MEC0574ALSP017106</t>
  </si>
  <si>
    <t>400922D0070778</t>
  </si>
  <si>
    <t>MEC0574ALSP017107</t>
  </si>
  <si>
    <t>400922D0070757</t>
  </si>
  <si>
    <t>MEC0574ALSP017108</t>
  </si>
  <si>
    <t>400922D0070760</t>
  </si>
  <si>
    <t>MEC0574ALSP017109</t>
  </si>
  <si>
    <t>400922D0070766</t>
  </si>
  <si>
    <t>Fuso Canter FE 85CH Model</t>
  </si>
  <si>
    <t>FE85CHZRB11</t>
  </si>
  <si>
    <t>LOT 57</t>
  </si>
  <si>
    <t>BAVFE85CHRSY00680</t>
  </si>
  <si>
    <t>4D33S22036</t>
  </si>
  <si>
    <t>BAVFE85CHRSY00681</t>
  </si>
  <si>
    <t>4D33S22046</t>
  </si>
  <si>
    <t>BAVFE85CHRSY00682</t>
  </si>
  <si>
    <t>4D33S22056</t>
  </si>
  <si>
    <t>BAVFE85CHRSY00683</t>
  </si>
  <si>
    <t>4D33S22067</t>
  </si>
  <si>
    <t>BAVFE85CHRSY00684</t>
  </si>
  <si>
    <t>4D33S22078</t>
  </si>
  <si>
    <t>BAVFE85CHRSY00673</t>
  </si>
  <si>
    <t>4D33S21927</t>
  </si>
  <si>
    <t>BAVFE85CHRSY00674</t>
  </si>
  <si>
    <t>4D33S21938</t>
  </si>
  <si>
    <t>BAVFE85CHRSY00675</t>
  </si>
  <si>
    <t>4D33S21950</t>
  </si>
  <si>
    <t>BAVFE85CHRSY00676</t>
  </si>
  <si>
    <t>4D33S21963</t>
  </si>
  <si>
    <t>BAVFE85CHRSY00677</t>
  </si>
  <si>
    <t>4D33S21971</t>
  </si>
  <si>
    <t>BAVFE85CHRSY00678</t>
  </si>
  <si>
    <t>4D33S21982</t>
  </si>
  <si>
    <t>BAVFE85CHRSY00679</t>
  </si>
  <si>
    <t>4D33S22023</t>
  </si>
  <si>
    <t>Fuso Canter FE 84 Model</t>
  </si>
  <si>
    <t>CANTER FE84CE</t>
  </si>
  <si>
    <t>LOT 108</t>
  </si>
  <si>
    <t>BAVFE84CERSY12186</t>
  </si>
  <si>
    <t>4D33S21787</t>
  </si>
  <si>
    <t>BAVFE84CERSY12187</t>
  </si>
  <si>
    <t>4D33S21791</t>
  </si>
  <si>
    <t>BAVFE84CERSY12188</t>
  </si>
  <si>
    <t>4D33S21795</t>
  </si>
  <si>
    <t>BAVFE84CERSY12189</t>
  </si>
  <si>
    <t>4D33S21800</t>
  </si>
  <si>
    <t>BAVFE84CERSY12190</t>
  </si>
  <si>
    <t>4D33S21807</t>
  </si>
  <si>
    <t>BAVFE84CERSY12191</t>
  </si>
  <si>
    <t>4D33S21812</t>
  </si>
  <si>
    <t>BAVFE84CERSY12192</t>
  </si>
  <si>
    <t>4D33S21817</t>
  </si>
  <si>
    <t>BAVFE84CERSY12193</t>
  </si>
  <si>
    <t>4D33S21821</t>
  </si>
  <si>
    <t>BAVFE84CERSY12194</t>
  </si>
  <si>
    <t>4D33S21829</t>
  </si>
  <si>
    <t>BAVFE84CERSY12195</t>
  </si>
  <si>
    <t>4D33S21834</t>
  </si>
  <si>
    <t>BAVFE84CERSY12196</t>
  </si>
  <si>
    <t>4D33S21842</t>
  </si>
  <si>
    <t>BAVFE84CERSY12185</t>
  </si>
  <si>
    <t>4D33S21782</t>
  </si>
  <si>
    <t>LOT 109</t>
  </si>
  <si>
    <t>BAVFE84CERSY12227</t>
  </si>
  <si>
    <t>4D33S22352</t>
  </si>
  <si>
    <t>BAVFE84CERSY12229</t>
  </si>
  <si>
    <t>4D33S22362</t>
  </si>
  <si>
    <t>BAVFE84CERSY12230</t>
  </si>
  <si>
    <t>4D33S22370</t>
  </si>
  <si>
    <t>BAVFE84CERSY12231</t>
  </si>
  <si>
    <t>4D33S22379</t>
  </si>
  <si>
    <t>BAVFE84CERSY12232</t>
  </si>
  <si>
    <t>4D33S22384</t>
  </si>
  <si>
    <t>BAVFE84CERSY12221</t>
  </si>
  <si>
    <t>4D33S22299</t>
  </si>
  <si>
    <t>BAVFE84CERSY12222</t>
  </si>
  <si>
    <t>4D33S22305</t>
  </si>
  <si>
    <t>BAVFE84CERSY12223</t>
  </si>
  <si>
    <t>4D33S22310</t>
  </si>
  <si>
    <t>BAVFE84CERSY12224</t>
  </si>
  <si>
    <t>4D33S22318</t>
  </si>
  <si>
    <t>BAVFE84CERSY12225</t>
  </si>
  <si>
    <t>4D33S22336</t>
  </si>
  <si>
    <t>BAVFE84CERSY12226</t>
  </si>
  <si>
    <t>4D33S22343</t>
  </si>
  <si>
    <t>BAVFE84CERSY12228</t>
  </si>
  <si>
    <t>4D33S22357</t>
  </si>
  <si>
    <t>LOT 405</t>
  </si>
  <si>
    <t>MEC0574ALSP017253</t>
  </si>
  <si>
    <t>400922D0071090</t>
  </si>
  <si>
    <t>MEC0574ALSP017254</t>
  </si>
  <si>
    <t>400922D0071081</t>
  </si>
  <si>
    <t>MEC0574ALSP017255</t>
  </si>
  <si>
    <t>400922D0071056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</si>
</sst>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5" fontId="4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6" fillId="3" borderId="3" xfId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center"/>
    </xf>
    <xf numFmtId="0" fontId="8" fillId="0" borderId="0" xfId="0" applyFont="1"/>
  </cellXfs>
  <cellStyles count="2">
    <cellStyle name="Normal" xfId="0" builtinId="0"/>
    <cellStyle name="Output" xfId="1" builtinId="2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VAPLANNING/Shared%20Documents/General/Logistics%20Consolidated.xlsx" TargetMode="External"/><Relationship Id="rId2" Type="http://schemas.openxmlformats.org/officeDocument/2006/relationships/externalLinkPath" Target="https://simbacorp.sharepoint.com/sites/AVAPLANNING/Shared%20Documents/General/Logistics%20Consolidated.xlsx" TargetMode="External"/><Relationship Id="rId1" Type="http://schemas.openxmlformats.org/officeDocument/2006/relationships/externalLinkPath" Target="/sites/AVAPLANNING/Shared%20Documents/General/Logistics%20Consoli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eive &amp; Dispatch"/>
      <sheetName val="Summary"/>
      <sheetName val="Dispatched"/>
      <sheetName val="Offline"/>
      <sheetName val="Models"/>
      <sheetName val="Receive &amp; Dispatch (2)"/>
      <sheetName val="Logistics Consolidate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B1" workbookViewId="0">
      <selection activeCell="H1" sqref="H1:H1048576"/>
    </sheetView>
  </sheetViews>
  <sheetFormatPr defaultRowHeight="15" customHeight="1"/>
  <cols>
    <col min="1" max="1" width="8.140625" bestFit="1" customWidth="1"/>
    <col min="2" max="2" width="31.5703125" bestFit="1" customWidth="1"/>
    <col min="3" max="3" width="14" bestFit="1" customWidth="1"/>
    <col min="4" max="4" width="11.140625" bestFit="1" customWidth="1"/>
    <col min="5" max="5" width="19.28515625" bestFit="1" customWidth="1"/>
    <col min="6" max="6" width="15.140625" bestFit="1" customWidth="1"/>
    <col min="7" max="7" width="13.5703125" customWidth="1"/>
    <col min="8" max="8" width="14.140625" customWidth="1"/>
  </cols>
  <sheetData>
    <row r="1" spans="1:8">
      <c r="B1" s="1"/>
      <c r="C1" s="1"/>
      <c r="D1" s="1"/>
      <c r="E1" s="1"/>
      <c r="F1" s="1"/>
      <c r="G1" s="2"/>
    </row>
    <row r="2" spans="1:8" ht="30.7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17" t="s">
        <v>4</v>
      </c>
    </row>
    <row r="3" spans="1:8">
      <c r="A3" s="7" t="e" vm="1">
        <f>_xlfn.XLOOKUP([1]!CKD_FBU[[#This Row],[MODEL]],[1]!Models[Model_Description],[1]!Models[Cust_Name Abr],"No Customer",1)</f>
        <v>#REF!</v>
      </c>
      <c r="B3" s="8" t="s">
        <v>7</v>
      </c>
      <c r="C3" s="9" t="s">
        <v>8</v>
      </c>
      <c r="D3" s="9" t="s">
        <v>9</v>
      </c>
      <c r="E3" s="9" t="s">
        <v>10</v>
      </c>
      <c r="F3" s="9">
        <v>8501487</v>
      </c>
      <c r="G3" s="10">
        <v>8</v>
      </c>
      <c r="H3" t="str">
        <f>RIGHT(E3, 7)</f>
        <v>4114919</v>
      </c>
    </row>
    <row r="4" spans="1:8">
      <c r="A4" s="7" t="e" vm="1">
        <f>_xlfn.XLOOKUP([1]!CKD_FBU[[#This Row],[MODEL]],[1]!Models[Model_Description],[1]!Models[Cust_Name Abr],"No Customer",1)</f>
        <v>#REF!</v>
      </c>
      <c r="B4" s="8" t="s">
        <v>11</v>
      </c>
      <c r="C4" s="12" t="s">
        <v>12</v>
      </c>
      <c r="D4" s="9" t="s">
        <v>13</v>
      </c>
      <c r="E4" s="9" t="s">
        <v>14</v>
      </c>
      <c r="F4" s="9">
        <v>8496791</v>
      </c>
      <c r="G4" s="10">
        <v>46024</v>
      </c>
      <c r="H4" t="str">
        <f>RIGHT(E4, 7)</f>
        <v>4109901</v>
      </c>
    </row>
    <row r="5" spans="1:8">
      <c r="A5" s="7" t="e" vm="1">
        <f>_xlfn.XLOOKUP([1]!CKD_FBU[[#This Row],[MODEL]],[1]!Models[Model_Description],[1]!Models[Cust_Name Abr],"No Customer",1)</f>
        <v>#REF!</v>
      </c>
      <c r="B5" s="8" t="s">
        <v>11</v>
      </c>
      <c r="C5" s="12" t="s">
        <v>12</v>
      </c>
      <c r="D5" s="9" t="s">
        <v>13</v>
      </c>
      <c r="E5" s="9" t="s">
        <v>15</v>
      </c>
      <c r="F5" s="9">
        <v>8496786</v>
      </c>
      <c r="G5" s="10">
        <v>46024</v>
      </c>
      <c r="H5" t="str">
        <f>RIGHT(E5, 7)</f>
        <v>4109902</v>
      </c>
    </row>
    <row r="6" spans="1:8">
      <c r="A6" s="7" t="e" vm="1">
        <f>_xlfn.XLOOKUP([1]!CKD_FBU[[#This Row],[MODEL]],[1]!Models[Model_Description],[1]!Models[Cust_Name Abr],"No Customer",1)</f>
        <v>#REF!</v>
      </c>
      <c r="B6" s="8" t="s">
        <v>11</v>
      </c>
      <c r="C6" s="12" t="s">
        <v>12</v>
      </c>
      <c r="D6" s="9" t="s">
        <v>13</v>
      </c>
      <c r="E6" s="9" t="s">
        <v>16</v>
      </c>
      <c r="F6" s="9">
        <v>8496787</v>
      </c>
      <c r="G6" s="10">
        <v>46024</v>
      </c>
      <c r="H6" t="str">
        <f>RIGHT(E6, 7)</f>
        <v>4109899</v>
      </c>
    </row>
    <row r="7" spans="1:8">
      <c r="A7" s="7" t="e" vm="1">
        <f>_xlfn.XLOOKUP([1]!CKD_FBU[[#This Row],[MODEL]],[1]!Models[Model_Description],[1]!Models[Cust_Name Abr],"No Customer",1)</f>
        <v>#REF!</v>
      </c>
      <c r="B7" s="8" t="s">
        <v>11</v>
      </c>
      <c r="C7" s="12" t="s">
        <v>12</v>
      </c>
      <c r="D7" s="9" t="s">
        <v>13</v>
      </c>
      <c r="E7" s="9" t="s">
        <v>17</v>
      </c>
      <c r="F7" s="9">
        <v>8496770</v>
      </c>
      <c r="G7" s="10">
        <v>46024</v>
      </c>
      <c r="H7" t="str">
        <f>RIGHT(E7, 7)</f>
        <v>4109898</v>
      </c>
    </row>
    <row r="8" spans="1:8">
      <c r="A8" s="7" t="e" vm="1">
        <f>_xlfn.XLOOKUP([1]!CKD_FBU[[#This Row],[MODEL]],[1]!Models[Model_Description],[1]!Models[Cust_Name Abr],"No Customer",1)</f>
        <v>#REF!</v>
      </c>
      <c r="B8" s="8" t="s">
        <v>11</v>
      </c>
      <c r="C8" s="12" t="s">
        <v>12</v>
      </c>
      <c r="D8" s="9" t="s">
        <v>13</v>
      </c>
      <c r="E8" s="9" t="s">
        <v>18</v>
      </c>
      <c r="F8" s="9">
        <v>8496807</v>
      </c>
      <c r="G8" s="10">
        <v>46024</v>
      </c>
      <c r="H8" t="str">
        <f>RIGHT(E8, 7)</f>
        <v>4109905</v>
      </c>
    </row>
    <row r="9" spans="1:8">
      <c r="A9" s="7" t="e" vm="1">
        <f>_xlfn.XLOOKUP([1]!CKD_FBU[[#This Row],[MODEL]],[1]!Models[Model_Description],[1]!Models[Cust_Name Abr],"No Customer",1)</f>
        <v>#REF!</v>
      </c>
      <c r="B9" s="8" t="s">
        <v>11</v>
      </c>
      <c r="C9" s="12" t="s">
        <v>12</v>
      </c>
      <c r="D9" s="9" t="s">
        <v>13</v>
      </c>
      <c r="E9" s="9" t="s">
        <v>19</v>
      </c>
      <c r="F9" s="9">
        <v>8496789</v>
      </c>
      <c r="G9" s="10">
        <v>46024</v>
      </c>
      <c r="H9" t="str">
        <f>RIGHT(E9, 7)</f>
        <v>4109906</v>
      </c>
    </row>
    <row r="10" spans="1:8">
      <c r="A10" s="7" t="e" vm="1">
        <f>_xlfn.XLOOKUP([1]!CKD_FBU[[#This Row],[MODEL]],[1]!Models[Model_Description],[1]!Models[Cust_Name Abr],"No Customer",1)</f>
        <v>#REF!</v>
      </c>
      <c r="B10" s="8" t="s">
        <v>11</v>
      </c>
      <c r="C10" s="12" t="s">
        <v>12</v>
      </c>
      <c r="D10" s="9" t="s">
        <v>13</v>
      </c>
      <c r="E10" s="9" t="s">
        <v>20</v>
      </c>
      <c r="F10" s="9">
        <v>8496785</v>
      </c>
      <c r="G10" s="10">
        <v>46024</v>
      </c>
      <c r="H10" t="str">
        <f>RIGHT(E10, 7)</f>
        <v>4109903</v>
      </c>
    </row>
    <row r="11" spans="1:8">
      <c r="A11" s="7" t="e" vm="1">
        <f>_xlfn.XLOOKUP([1]!CKD_FBU[[#This Row],[MODEL]],[1]!Models[Model_Description],[1]!Models[Cust_Name Abr],"No Customer",1)</f>
        <v>#REF!</v>
      </c>
      <c r="B11" s="8" t="s">
        <v>11</v>
      </c>
      <c r="C11" s="12" t="s">
        <v>12</v>
      </c>
      <c r="D11" s="9" t="s">
        <v>13</v>
      </c>
      <c r="E11" s="9" t="s">
        <v>21</v>
      </c>
      <c r="F11" s="9">
        <v>8496788</v>
      </c>
      <c r="G11" s="10">
        <v>46024</v>
      </c>
      <c r="H11" t="str">
        <f>RIGHT(E11, 7)</f>
        <v>4109904</v>
      </c>
    </row>
    <row r="12" spans="1:8">
      <c r="A12" s="7" t="e" vm="1">
        <f>_xlfn.XLOOKUP([1]!CKD_FBU[[#This Row],[MODEL]],[1]!Models[Model_Description],[1]!Models[Cust_Name Abr],"No Customer",1)</f>
        <v>#REF!</v>
      </c>
      <c r="B12" s="8" t="s">
        <v>11</v>
      </c>
      <c r="C12" s="12" t="s">
        <v>12</v>
      </c>
      <c r="D12" s="9" t="s">
        <v>13</v>
      </c>
      <c r="E12" s="9" t="s">
        <v>22</v>
      </c>
      <c r="F12" s="9">
        <v>8496800</v>
      </c>
      <c r="G12" s="10">
        <v>46024</v>
      </c>
      <c r="H12" t="str">
        <f>RIGHT(E12, 7)</f>
        <v>4109900</v>
      </c>
    </row>
    <row r="13" spans="1:8">
      <c r="A13" s="7" t="e" vm="1">
        <f>_xlfn.XLOOKUP([1]!CKD_FBU[[#This Row],[MODEL]],[1]!Models[Model_Description],[1]!Models[Cust_Name Abr],"No Customer",1)</f>
        <v>#REF!</v>
      </c>
      <c r="B13" s="8" t="s">
        <v>23</v>
      </c>
      <c r="C13" s="13" t="s">
        <v>24</v>
      </c>
      <c r="D13" s="13" t="s">
        <v>25</v>
      </c>
      <c r="E13" s="13" t="s">
        <v>26</v>
      </c>
      <c r="F13" s="13" t="s">
        <v>27</v>
      </c>
      <c r="G13" s="11">
        <v>46028</v>
      </c>
      <c r="H13" t="str">
        <f>RIGHT(E13, 7)</f>
        <v>P016939</v>
      </c>
    </row>
    <row r="14" spans="1:8">
      <c r="A14" s="7" t="e" vm="1">
        <f>_xlfn.XLOOKUP([1]!CKD_FBU[[#This Row],[MODEL]],[1]!Models[Model_Description],[1]!Models[Cust_Name Abr],"No Customer",1)</f>
        <v>#REF!</v>
      </c>
      <c r="B14" s="8" t="s">
        <v>23</v>
      </c>
      <c r="C14" s="13" t="s">
        <v>24</v>
      </c>
      <c r="D14" s="13" t="s">
        <v>25</v>
      </c>
      <c r="E14" s="13" t="s">
        <v>28</v>
      </c>
      <c r="F14" s="13" t="s">
        <v>29</v>
      </c>
      <c r="G14" s="11">
        <v>46028</v>
      </c>
      <c r="H14" t="str">
        <f>RIGHT(E14, 7)</f>
        <v>P016940</v>
      </c>
    </row>
    <row r="15" spans="1:8">
      <c r="A15" s="7" t="e" vm="1">
        <f>_xlfn.XLOOKUP([1]!CKD_FBU[[#This Row],[MODEL]],[1]!Models[Model_Description],[1]!Models[Cust_Name Abr],"No Customer",1)</f>
        <v>#REF!</v>
      </c>
      <c r="B15" s="8" t="s">
        <v>23</v>
      </c>
      <c r="C15" s="13" t="s">
        <v>24</v>
      </c>
      <c r="D15" s="13" t="s">
        <v>25</v>
      </c>
      <c r="E15" s="13" t="s">
        <v>30</v>
      </c>
      <c r="F15" s="13" t="s">
        <v>31</v>
      </c>
      <c r="G15" s="11">
        <v>46028</v>
      </c>
      <c r="H15" t="str">
        <f>RIGHT(E15, 7)</f>
        <v>P016941</v>
      </c>
    </row>
    <row r="16" spans="1:8">
      <c r="A16" s="7" t="e" vm="1">
        <f>_xlfn.XLOOKUP([1]!CKD_FBU[[#This Row],[MODEL]],[1]!Models[Model_Description],[1]!Models[Cust_Name Abr],"No Customer",1)</f>
        <v>#REF!</v>
      </c>
      <c r="B16" s="8" t="s">
        <v>23</v>
      </c>
      <c r="C16" s="13" t="s">
        <v>24</v>
      </c>
      <c r="D16" s="13" t="s">
        <v>25</v>
      </c>
      <c r="E16" s="13" t="s">
        <v>32</v>
      </c>
      <c r="F16" s="13" t="s">
        <v>33</v>
      </c>
      <c r="G16" s="11">
        <v>46028</v>
      </c>
      <c r="H16" t="str">
        <f>RIGHT(E16, 7)</f>
        <v>P016942</v>
      </c>
    </row>
    <row r="17" spans="1:8">
      <c r="A17" s="7" t="e" vm="1">
        <f>_xlfn.XLOOKUP([1]!CKD_FBU[[#This Row],[MODEL]],[1]!Models[Model_Description],[1]!Models[Cust_Name Abr],"No Customer",1)</f>
        <v>#REF!</v>
      </c>
      <c r="B17" s="8" t="s">
        <v>23</v>
      </c>
      <c r="C17" s="13" t="s">
        <v>24</v>
      </c>
      <c r="D17" s="13" t="s">
        <v>25</v>
      </c>
      <c r="E17" s="13" t="s">
        <v>34</v>
      </c>
      <c r="F17" s="13" t="s">
        <v>35</v>
      </c>
      <c r="G17" s="11">
        <v>46028</v>
      </c>
      <c r="H17" t="str">
        <f>RIGHT(E17, 7)</f>
        <v>P016943</v>
      </c>
    </row>
    <row r="18" spans="1:8">
      <c r="A18" s="7" t="e" vm="1">
        <f>_xlfn.XLOOKUP([1]!CKD_FBU[[#This Row],[MODEL]],[1]!Models[Model_Description],[1]!Models[Cust_Name Abr],"No Customer",1)</f>
        <v>#REF!</v>
      </c>
      <c r="B18" s="8" t="s">
        <v>23</v>
      </c>
      <c r="C18" s="13" t="s">
        <v>24</v>
      </c>
      <c r="D18" s="13" t="s">
        <v>25</v>
      </c>
      <c r="E18" s="13" t="s">
        <v>36</v>
      </c>
      <c r="F18" s="13" t="s">
        <v>37</v>
      </c>
      <c r="G18" s="11">
        <v>46028</v>
      </c>
      <c r="H18" t="str">
        <f>RIGHT(E18, 7)</f>
        <v>P016932</v>
      </c>
    </row>
    <row r="19" spans="1:8">
      <c r="A19" s="7" t="e" vm="1">
        <f>_xlfn.XLOOKUP([1]!CKD_FBU[[#This Row],[MODEL]],[1]!Models[Model_Description],[1]!Models[Cust_Name Abr],"No Customer",1)</f>
        <v>#REF!</v>
      </c>
      <c r="B19" s="8" t="s">
        <v>23</v>
      </c>
      <c r="C19" s="13" t="s">
        <v>24</v>
      </c>
      <c r="D19" s="13" t="s">
        <v>25</v>
      </c>
      <c r="E19" s="13" t="s">
        <v>38</v>
      </c>
      <c r="F19" s="13" t="s">
        <v>39</v>
      </c>
      <c r="G19" s="11">
        <v>46028</v>
      </c>
      <c r="H19" t="str">
        <f>RIGHT(E19, 7)</f>
        <v>P016933</v>
      </c>
    </row>
    <row r="20" spans="1:8">
      <c r="A20" s="7" t="e" vm="1">
        <f>_xlfn.XLOOKUP([1]!CKD_FBU[[#This Row],[MODEL]],[1]!Models[Model_Description],[1]!Models[Cust_Name Abr],"No Customer",1)</f>
        <v>#REF!</v>
      </c>
      <c r="B20" s="8" t="s">
        <v>23</v>
      </c>
      <c r="C20" s="13" t="s">
        <v>24</v>
      </c>
      <c r="D20" s="13" t="s">
        <v>25</v>
      </c>
      <c r="E20" s="13" t="s">
        <v>40</v>
      </c>
      <c r="F20" s="13" t="s">
        <v>41</v>
      </c>
      <c r="G20" s="11">
        <v>46028</v>
      </c>
      <c r="H20" t="str">
        <f>RIGHT(E20, 7)</f>
        <v>P016934</v>
      </c>
    </row>
    <row r="21" spans="1:8">
      <c r="A21" s="7" t="e" vm="1">
        <f>_xlfn.XLOOKUP([1]!CKD_FBU[[#This Row],[MODEL]],[1]!Models[Model_Description],[1]!Models[Cust_Name Abr],"No Customer",1)</f>
        <v>#REF!</v>
      </c>
      <c r="B21" s="8" t="s">
        <v>23</v>
      </c>
      <c r="C21" s="13" t="s">
        <v>24</v>
      </c>
      <c r="D21" s="13" t="s">
        <v>25</v>
      </c>
      <c r="E21" s="13" t="s">
        <v>42</v>
      </c>
      <c r="F21" s="13" t="s">
        <v>43</v>
      </c>
      <c r="G21" s="11">
        <v>46028</v>
      </c>
      <c r="H21" t="str">
        <f>RIGHT(E21, 7)</f>
        <v>P016935</v>
      </c>
    </row>
    <row r="22" spans="1:8">
      <c r="A22" s="7" t="e" vm="1">
        <f>_xlfn.XLOOKUP([1]!CKD_FBU[[#This Row],[MODEL]],[1]!Models[Model_Description],[1]!Models[Cust_Name Abr],"No Customer",1)</f>
        <v>#REF!</v>
      </c>
      <c r="B22" s="8" t="s">
        <v>23</v>
      </c>
      <c r="C22" s="13" t="s">
        <v>24</v>
      </c>
      <c r="D22" s="13" t="s">
        <v>25</v>
      </c>
      <c r="E22" s="13" t="s">
        <v>44</v>
      </c>
      <c r="F22" s="13" t="s">
        <v>45</v>
      </c>
      <c r="G22" s="11">
        <v>46028</v>
      </c>
      <c r="H22" t="str">
        <f>RIGHT(E22, 7)</f>
        <v>P016936</v>
      </c>
    </row>
    <row r="23" spans="1:8">
      <c r="A23" s="7" t="e" vm="1">
        <f>_xlfn.XLOOKUP([1]!CKD_FBU[[#This Row],[MODEL]],[1]!Models[Model_Description],[1]!Models[Cust_Name Abr],"No Customer",1)</f>
        <v>#REF!</v>
      </c>
      <c r="B23" s="8" t="s">
        <v>23</v>
      </c>
      <c r="C23" s="13" t="s">
        <v>24</v>
      </c>
      <c r="D23" s="13" t="s">
        <v>25</v>
      </c>
      <c r="E23" s="13" t="s">
        <v>46</v>
      </c>
      <c r="F23" s="13" t="s">
        <v>47</v>
      </c>
      <c r="G23" s="11">
        <v>46028</v>
      </c>
      <c r="H23" t="str">
        <f>RIGHT(E23, 7)</f>
        <v>P016937</v>
      </c>
    </row>
    <row r="24" spans="1:8">
      <c r="A24" s="7" t="e" vm="1">
        <f>_xlfn.XLOOKUP([1]!CKD_FBU[[#This Row],[MODEL]],[1]!Models[Model_Description],[1]!Models[Cust_Name Abr],"No Customer",1)</f>
        <v>#REF!</v>
      </c>
      <c r="B24" s="8" t="s">
        <v>23</v>
      </c>
      <c r="C24" s="13" t="s">
        <v>24</v>
      </c>
      <c r="D24" s="13" t="s">
        <v>25</v>
      </c>
      <c r="E24" s="13" t="s">
        <v>48</v>
      </c>
      <c r="F24" s="13" t="s">
        <v>49</v>
      </c>
      <c r="G24" s="11">
        <v>46028</v>
      </c>
      <c r="H24" t="str">
        <f>RIGHT(E24, 7)</f>
        <v>P016938</v>
      </c>
    </row>
    <row r="25" spans="1:8">
      <c r="A25" s="7" t="e" vm="1">
        <f>_xlfn.XLOOKUP([1]!CKD_FBU[[#This Row],[MODEL]],[1]!Models[Model_Description],[1]!Models[Cust_Name Abr],"No Customer",1)</f>
        <v>#REF!</v>
      </c>
      <c r="B25" s="8" t="s">
        <v>11</v>
      </c>
      <c r="C25" s="12" t="s">
        <v>12</v>
      </c>
      <c r="D25" s="9" t="s">
        <v>50</v>
      </c>
      <c r="E25" s="9" t="s">
        <v>51</v>
      </c>
      <c r="F25" s="9">
        <v>8495733</v>
      </c>
      <c r="G25" s="10">
        <v>46028</v>
      </c>
      <c r="H25" t="str">
        <f>RIGHT(E25, 7)</f>
        <v>4108750</v>
      </c>
    </row>
    <row r="26" spans="1:8">
      <c r="A26" s="7" t="e" vm="1">
        <f>_xlfn.XLOOKUP([1]!CKD_FBU[[#This Row],[MODEL]],[1]!Models[Model_Description],[1]!Models[Cust_Name Abr],"No Customer",1)</f>
        <v>#REF!</v>
      </c>
      <c r="B26" s="8" t="s">
        <v>11</v>
      </c>
      <c r="C26" s="12" t="s">
        <v>12</v>
      </c>
      <c r="D26" s="9" t="s">
        <v>50</v>
      </c>
      <c r="E26" s="9" t="s">
        <v>52</v>
      </c>
      <c r="F26" s="9">
        <v>8495602</v>
      </c>
      <c r="G26" s="10">
        <v>46028</v>
      </c>
      <c r="H26" t="str">
        <f>RIGHT(E26, 7)</f>
        <v>4108751</v>
      </c>
    </row>
    <row r="27" spans="1:8">
      <c r="A27" s="7" t="e" vm="1">
        <f>_xlfn.XLOOKUP([1]!CKD_FBU[[#This Row],[MODEL]],[1]!Models[Model_Description],[1]!Models[Cust_Name Abr],"No Customer",1)</f>
        <v>#REF!</v>
      </c>
      <c r="B27" s="8" t="s">
        <v>11</v>
      </c>
      <c r="C27" s="12" t="s">
        <v>12</v>
      </c>
      <c r="D27" s="9" t="s">
        <v>50</v>
      </c>
      <c r="E27" s="9" t="s">
        <v>53</v>
      </c>
      <c r="F27" s="9">
        <v>8495559</v>
      </c>
      <c r="G27" s="10">
        <v>46028</v>
      </c>
      <c r="H27" t="str">
        <f>RIGHT(E27, 7)</f>
        <v>4108749</v>
      </c>
    </row>
    <row r="28" spans="1:8">
      <c r="A28" s="7" t="e" vm="1">
        <f>_xlfn.XLOOKUP([1]!CKD_FBU[[#This Row],[MODEL]],[1]!Models[Model_Description],[1]!Models[Cust_Name Abr],"No Customer",1)</f>
        <v>#REF!</v>
      </c>
      <c r="B28" s="8" t="s">
        <v>11</v>
      </c>
      <c r="C28" s="12" t="s">
        <v>12</v>
      </c>
      <c r="D28" s="9" t="s">
        <v>54</v>
      </c>
      <c r="E28" s="9" t="s">
        <v>55</v>
      </c>
      <c r="F28" s="9">
        <v>8497167</v>
      </c>
      <c r="G28" s="10">
        <v>46037</v>
      </c>
      <c r="H28" t="str">
        <f>RIGHT(E28, 7)</f>
        <v>4110310</v>
      </c>
    </row>
    <row r="29" spans="1:8">
      <c r="A29" s="7" t="e" vm="1">
        <f>_xlfn.XLOOKUP([1]!CKD_FBU[[#This Row],[MODEL]],[1]!Models[Model_Description],[1]!Models[Cust_Name Abr],"No Customer",1)</f>
        <v>#REF!</v>
      </c>
      <c r="B29" s="8" t="s">
        <v>11</v>
      </c>
      <c r="C29" s="12" t="s">
        <v>12</v>
      </c>
      <c r="D29" s="9" t="s">
        <v>54</v>
      </c>
      <c r="E29" s="9" t="s">
        <v>56</v>
      </c>
      <c r="F29" s="9">
        <v>8497158</v>
      </c>
      <c r="G29" s="10">
        <v>46037</v>
      </c>
      <c r="H29" t="str">
        <f>RIGHT(E29, 7)</f>
        <v>4110311</v>
      </c>
    </row>
    <row r="30" spans="1:8">
      <c r="A30" s="7" t="e" vm="1">
        <f>_xlfn.XLOOKUP([1]!CKD_FBU[[#This Row],[MODEL]],[1]!Models[Model_Description],[1]!Models[Cust_Name Abr],"No Customer",1)</f>
        <v>#REF!</v>
      </c>
      <c r="B30" s="8" t="s">
        <v>11</v>
      </c>
      <c r="C30" s="12" t="s">
        <v>12</v>
      </c>
      <c r="D30" s="9" t="s">
        <v>54</v>
      </c>
      <c r="E30" s="9" t="s">
        <v>57</v>
      </c>
      <c r="F30" s="9">
        <v>8497150</v>
      </c>
      <c r="G30" s="10">
        <v>46037</v>
      </c>
      <c r="H30" t="str">
        <f>RIGHT(E30, 7)</f>
        <v>4110303</v>
      </c>
    </row>
    <row r="31" spans="1:8">
      <c r="A31" s="7" t="e" vm="1">
        <f>_xlfn.XLOOKUP([1]!CKD_FBU[[#This Row],[MODEL]],[1]!Models[Model_Description],[1]!Models[Cust_Name Abr],"No Customer",1)</f>
        <v>#REF!</v>
      </c>
      <c r="B31" s="8" t="s">
        <v>11</v>
      </c>
      <c r="C31" s="12" t="s">
        <v>12</v>
      </c>
      <c r="D31" s="9" t="s">
        <v>54</v>
      </c>
      <c r="E31" s="9" t="s">
        <v>58</v>
      </c>
      <c r="F31" s="9">
        <v>8497144</v>
      </c>
      <c r="G31" s="10">
        <v>46037</v>
      </c>
      <c r="H31" t="str">
        <f>RIGHT(E31, 7)</f>
        <v>4110304</v>
      </c>
    </row>
    <row r="32" spans="1:8">
      <c r="A32" s="7" t="e" vm="1">
        <f>_xlfn.XLOOKUP([1]!CKD_FBU[[#This Row],[MODEL]],[1]!Models[Model_Description],[1]!Models[Cust_Name Abr],"No Customer",1)</f>
        <v>#REF!</v>
      </c>
      <c r="B32" s="8" t="s">
        <v>23</v>
      </c>
      <c r="C32" s="13" t="s">
        <v>24</v>
      </c>
      <c r="D32" s="13" t="s">
        <v>59</v>
      </c>
      <c r="E32" s="13" t="s">
        <v>60</v>
      </c>
      <c r="F32" s="13" t="s">
        <v>61</v>
      </c>
      <c r="G32" s="11">
        <v>46038</v>
      </c>
      <c r="H32" t="str">
        <f>RIGHT(E32, 7)</f>
        <v>P017069</v>
      </c>
    </row>
    <row r="33" spans="1:8">
      <c r="A33" s="7" t="e" vm="1">
        <f>_xlfn.XLOOKUP([1]!CKD_FBU[[#This Row],[MODEL]],[1]!Models[Model_Description],[1]!Models[Cust_Name Abr],"No Customer",1)</f>
        <v>#REF!</v>
      </c>
      <c r="B33" s="8" t="s">
        <v>23</v>
      </c>
      <c r="C33" s="13" t="s">
        <v>24</v>
      </c>
      <c r="D33" s="13" t="s">
        <v>59</v>
      </c>
      <c r="E33" s="13" t="s">
        <v>62</v>
      </c>
      <c r="F33" s="13" t="s">
        <v>63</v>
      </c>
      <c r="G33" s="11">
        <v>46038</v>
      </c>
      <c r="H33" t="str">
        <f>RIGHT(E33, 7)</f>
        <v>P017062</v>
      </c>
    </row>
    <row r="34" spans="1:8">
      <c r="A34" s="7" t="e" vm="1">
        <f>_xlfn.XLOOKUP([1]!CKD_FBU[[#This Row],[MODEL]],[1]!Models[Model_Description],[1]!Models[Cust_Name Abr],"No Customer",1)</f>
        <v>#REF!</v>
      </c>
      <c r="B34" s="8" t="s">
        <v>23</v>
      </c>
      <c r="C34" s="13" t="s">
        <v>24</v>
      </c>
      <c r="D34" s="13" t="s">
        <v>59</v>
      </c>
      <c r="E34" s="13" t="s">
        <v>64</v>
      </c>
      <c r="F34" s="13" t="s">
        <v>65</v>
      </c>
      <c r="G34" s="11">
        <v>46038</v>
      </c>
      <c r="H34" t="str">
        <f>RIGHT(E34, 7)</f>
        <v>P017063</v>
      </c>
    </row>
    <row r="35" spans="1:8">
      <c r="A35" s="7" t="e" vm="1">
        <f>_xlfn.XLOOKUP([1]!CKD_FBU[[#This Row],[MODEL]],[1]!Models[Model_Description],[1]!Models[Cust_Name Abr],"No Customer",1)</f>
        <v>#REF!</v>
      </c>
      <c r="B35" s="8" t="s">
        <v>23</v>
      </c>
      <c r="C35" s="13" t="s">
        <v>24</v>
      </c>
      <c r="D35" s="13" t="s">
        <v>59</v>
      </c>
      <c r="E35" s="13" t="s">
        <v>66</v>
      </c>
      <c r="F35" s="13" t="s">
        <v>67</v>
      </c>
      <c r="G35" s="11">
        <v>46038</v>
      </c>
      <c r="H35" t="str">
        <f>RIGHT(E35, 7)</f>
        <v>P017064</v>
      </c>
    </row>
    <row r="36" spans="1:8">
      <c r="A36" s="7" t="e" vm="1">
        <f>_xlfn.XLOOKUP([1]!CKD_FBU[[#This Row],[MODEL]],[1]!Models[Model_Description],[1]!Models[Cust_Name Abr],"No Customer",1)</f>
        <v>#REF!</v>
      </c>
      <c r="B36" s="8" t="s">
        <v>23</v>
      </c>
      <c r="C36" s="13" t="s">
        <v>24</v>
      </c>
      <c r="D36" s="13" t="s">
        <v>59</v>
      </c>
      <c r="E36" s="13" t="s">
        <v>68</v>
      </c>
      <c r="F36" s="13" t="s">
        <v>69</v>
      </c>
      <c r="G36" s="11">
        <v>46038</v>
      </c>
      <c r="H36" t="str">
        <f>RIGHT(E36, 7)</f>
        <v>P017065</v>
      </c>
    </row>
    <row r="37" spans="1:8">
      <c r="A37" s="7" t="e" vm="1">
        <f>_xlfn.XLOOKUP([1]!CKD_FBU[[#This Row],[MODEL]],[1]!Models[Model_Description],[1]!Models[Cust_Name Abr],"No Customer",1)</f>
        <v>#REF!</v>
      </c>
      <c r="B37" s="8" t="s">
        <v>23</v>
      </c>
      <c r="C37" s="13" t="s">
        <v>24</v>
      </c>
      <c r="D37" s="13" t="s">
        <v>59</v>
      </c>
      <c r="E37" s="13" t="s">
        <v>70</v>
      </c>
      <c r="F37" s="13" t="s">
        <v>71</v>
      </c>
      <c r="G37" s="11">
        <v>46038</v>
      </c>
      <c r="H37" t="str">
        <f>RIGHT(E37, 7)</f>
        <v>P017066</v>
      </c>
    </row>
    <row r="38" spans="1:8">
      <c r="A38" s="7" t="e" vm="1">
        <f>_xlfn.XLOOKUP([1]!CKD_FBU[[#This Row],[MODEL]],[1]!Models[Model_Description],[1]!Models[Cust_Name Abr],"No Customer",1)</f>
        <v>#REF!</v>
      </c>
      <c r="B38" s="8" t="s">
        <v>23</v>
      </c>
      <c r="C38" s="13" t="s">
        <v>24</v>
      </c>
      <c r="D38" s="13" t="s">
        <v>59</v>
      </c>
      <c r="E38" s="13" t="s">
        <v>72</v>
      </c>
      <c r="F38" s="13" t="s">
        <v>73</v>
      </c>
      <c r="G38" s="11">
        <v>46038</v>
      </c>
      <c r="H38" t="str">
        <f>RIGHT(E38, 7)</f>
        <v>P017067</v>
      </c>
    </row>
    <row r="39" spans="1:8">
      <c r="A39" s="7" t="e" vm="1">
        <f>_xlfn.XLOOKUP([1]!CKD_FBU[[#This Row],[MODEL]],[1]!Models[Model_Description],[1]!Models[Cust_Name Abr],"No Customer",1)</f>
        <v>#REF!</v>
      </c>
      <c r="B39" s="8" t="s">
        <v>23</v>
      </c>
      <c r="C39" s="13" t="s">
        <v>24</v>
      </c>
      <c r="D39" s="13" t="s">
        <v>59</v>
      </c>
      <c r="E39" s="13" t="s">
        <v>74</v>
      </c>
      <c r="F39" s="13" t="s">
        <v>75</v>
      </c>
      <c r="G39" s="11">
        <v>46038</v>
      </c>
      <c r="H39" t="str">
        <f>RIGHT(E39, 7)</f>
        <v>P017068</v>
      </c>
    </row>
    <row r="40" spans="1:8">
      <c r="A40" s="7" t="e" vm="1">
        <f>_xlfn.XLOOKUP([1]!CKD_FBU[[#This Row],[MODEL]],[1]!Models[Model_Description],[1]!Models[Cust_Name Abr],"No Customer",1)</f>
        <v>#REF!</v>
      </c>
      <c r="B40" s="8" t="s">
        <v>23</v>
      </c>
      <c r="C40" s="13" t="s">
        <v>24</v>
      </c>
      <c r="D40" s="13" t="s">
        <v>59</v>
      </c>
      <c r="E40" s="13" t="s">
        <v>76</v>
      </c>
      <c r="F40" s="13" t="s">
        <v>77</v>
      </c>
      <c r="G40" s="11">
        <v>46038</v>
      </c>
      <c r="H40" t="str">
        <f>RIGHT(E40, 7)</f>
        <v>P017058</v>
      </c>
    </row>
    <row r="41" spans="1:8">
      <c r="A41" s="7" t="e" vm="1">
        <f>_xlfn.XLOOKUP([1]!CKD_FBU[[#This Row],[MODEL]],[1]!Models[Model_Description],[1]!Models[Cust_Name Abr],"No Customer",1)</f>
        <v>#REF!</v>
      </c>
      <c r="B41" s="8" t="s">
        <v>23</v>
      </c>
      <c r="C41" s="13" t="s">
        <v>24</v>
      </c>
      <c r="D41" s="13" t="s">
        <v>59</v>
      </c>
      <c r="E41" s="13" t="s">
        <v>78</v>
      </c>
      <c r="F41" s="13" t="s">
        <v>79</v>
      </c>
      <c r="G41" s="11">
        <v>46038</v>
      </c>
      <c r="H41" t="str">
        <f>RIGHT(E41, 7)</f>
        <v>P017059</v>
      </c>
    </row>
    <row r="42" spans="1:8">
      <c r="A42" s="7" t="e" vm="1">
        <f>_xlfn.XLOOKUP([1]!CKD_FBU[[#This Row],[MODEL]],[1]!Models[Model_Description],[1]!Models[Cust_Name Abr],"No Customer",1)</f>
        <v>#REF!</v>
      </c>
      <c r="B42" s="8" t="s">
        <v>23</v>
      </c>
      <c r="C42" s="13" t="s">
        <v>24</v>
      </c>
      <c r="D42" s="13" t="s">
        <v>59</v>
      </c>
      <c r="E42" s="13" t="s">
        <v>80</v>
      </c>
      <c r="F42" s="13" t="s">
        <v>81</v>
      </c>
      <c r="G42" s="11">
        <v>46038</v>
      </c>
      <c r="H42" t="str">
        <f>RIGHT(E42, 7)</f>
        <v>P017060</v>
      </c>
    </row>
    <row r="43" spans="1:8">
      <c r="A43" s="7" t="e" vm="1">
        <f>_xlfn.XLOOKUP([1]!CKD_FBU[[#This Row],[MODEL]],[1]!Models[Model_Description],[1]!Models[Cust_Name Abr],"No Customer",1)</f>
        <v>#REF!</v>
      </c>
      <c r="B43" s="8" t="s">
        <v>23</v>
      </c>
      <c r="C43" s="13" t="s">
        <v>24</v>
      </c>
      <c r="D43" s="13" t="s">
        <v>59</v>
      </c>
      <c r="E43" s="13" t="s">
        <v>82</v>
      </c>
      <c r="F43" s="13" t="s">
        <v>83</v>
      </c>
      <c r="G43" s="11">
        <v>46038</v>
      </c>
      <c r="H43" t="str">
        <f>RIGHT(E43, 7)</f>
        <v>P017061</v>
      </c>
    </row>
    <row r="44" spans="1:8">
      <c r="A44" s="7" t="e" vm="1">
        <f>_xlfn.XLOOKUP([1]!CKD_FBU[[#This Row],[MODEL]],[1]!Models[Model_Description],[1]!Models[Cust_Name Abr],"No Customer",1)</f>
        <v>#REF!</v>
      </c>
      <c r="B44" s="8" t="s">
        <v>11</v>
      </c>
      <c r="C44" s="12" t="s">
        <v>12</v>
      </c>
      <c r="D44" s="9" t="s">
        <v>84</v>
      </c>
      <c r="E44" s="9" t="s">
        <v>85</v>
      </c>
      <c r="F44" s="9">
        <v>8497165</v>
      </c>
      <c r="G44" s="10">
        <v>46038</v>
      </c>
      <c r="H44" t="str">
        <f>RIGHT(E44, 7)</f>
        <v>4110309</v>
      </c>
    </row>
    <row r="45" spans="1:8">
      <c r="A45" s="7" t="e" vm="1">
        <f>_xlfn.XLOOKUP([1]!CKD_FBU[[#This Row],[MODEL]],[1]!Models[Model_Description],[1]!Models[Cust_Name Abr],"No Customer",1)</f>
        <v>#REF!</v>
      </c>
      <c r="B45" s="8" t="s">
        <v>11</v>
      </c>
      <c r="C45" s="12" t="s">
        <v>12</v>
      </c>
      <c r="D45" s="9" t="s">
        <v>84</v>
      </c>
      <c r="E45" s="9" t="s">
        <v>86</v>
      </c>
      <c r="F45" s="9">
        <v>8497168</v>
      </c>
      <c r="G45" s="10">
        <v>46038</v>
      </c>
      <c r="H45" t="str">
        <f>RIGHT(E45, 7)</f>
        <v>4110307</v>
      </c>
    </row>
    <row r="46" spans="1:8">
      <c r="A46" s="7" t="e" vm="1">
        <f>_xlfn.XLOOKUP([1]!CKD_FBU[[#This Row],[MODEL]],[1]!Models[Model_Description],[1]!Models[Cust_Name Abr],"No Customer",1)</f>
        <v>#REF!</v>
      </c>
      <c r="B46" s="8" t="s">
        <v>11</v>
      </c>
      <c r="C46" s="12" t="s">
        <v>12</v>
      </c>
      <c r="D46" s="9" t="s">
        <v>84</v>
      </c>
      <c r="E46" s="9" t="s">
        <v>87</v>
      </c>
      <c r="F46" s="9">
        <v>8497166</v>
      </c>
      <c r="G46" s="10">
        <v>46038</v>
      </c>
      <c r="H46" t="str">
        <f>RIGHT(E46, 7)</f>
        <v>4110308</v>
      </c>
    </row>
    <row r="47" spans="1:8">
      <c r="A47" s="7" t="e" vm="1">
        <f>_xlfn.XLOOKUP([1]!CKD_FBU[[#This Row],[MODEL]],[1]!Models[Model_Description],[1]!Models[Cust_Name Abr],"No Customer",1)</f>
        <v>#REF!</v>
      </c>
      <c r="B47" s="8" t="s">
        <v>11</v>
      </c>
      <c r="C47" s="12" t="s">
        <v>12</v>
      </c>
      <c r="D47" s="9" t="s">
        <v>88</v>
      </c>
      <c r="E47" s="9" t="s">
        <v>89</v>
      </c>
      <c r="F47" s="9">
        <v>8497932</v>
      </c>
      <c r="G47" s="10">
        <v>46043</v>
      </c>
      <c r="H47" t="str">
        <f>RIGHT(E47, 7)</f>
        <v>4111655</v>
      </c>
    </row>
    <row r="48" spans="1:8">
      <c r="A48" s="7" t="e" vm="1">
        <f>_xlfn.XLOOKUP([1]!CKD_FBU[[#This Row],[MODEL]],[1]!Models[Model_Description],[1]!Models[Cust_Name Abr],"No Customer",1)</f>
        <v>#REF!</v>
      </c>
      <c r="B48" s="8" t="s">
        <v>90</v>
      </c>
      <c r="C48" s="14" t="s">
        <v>91</v>
      </c>
      <c r="D48" s="13" t="s">
        <v>92</v>
      </c>
      <c r="E48" s="13" t="s">
        <v>93</v>
      </c>
      <c r="F48" s="13" t="s">
        <v>94</v>
      </c>
      <c r="G48" s="11">
        <v>46051</v>
      </c>
      <c r="H48" t="str">
        <f>RIGHT(E48, 7)</f>
        <v>2033340</v>
      </c>
    </row>
    <row r="49" spans="1:8">
      <c r="A49" s="7" t="e" vm="1">
        <f>_xlfn.XLOOKUP([1]!CKD_FBU[[#This Row],[MODEL]],[1]!Models[Model_Description],[1]!Models[Cust_Name Abr],"No Customer",1)</f>
        <v>#REF!</v>
      </c>
      <c r="B49" s="8" t="s">
        <v>90</v>
      </c>
      <c r="C49" s="14" t="s">
        <v>91</v>
      </c>
      <c r="D49" s="13" t="s">
        <v>92</v>
      </c>
      <c r="E49" s="13" t="s">
        <v>95</v>
      </c>
      <c r="F49" s="13" t="s">
        <v>96</v>
      </c>
      <c r="G49" s="11">
        <v>46051</v>
      </c>
      <c r="H49" t="str">
        <f>RIGHT(E49, 7)</f>
        <v>2033341</v>
      </c>
    </row>
    <row r="50" spans="1:8">
      <c r="A50" s="7" t="e" vm="1">
        <f>_xlfn.XLOOKUP([1]!CKD_FBU[[#This Row],[MODEL]],[1]!Models[Model_Description],[1]!Models[Cust_Name Abr],"No Customer",1)</f>
        <v>#REF!</v>
      </c>
      <c r="B50" s="8" t="s">
        <v>90</v>
      </c>
      <c r="C50" s="14" t="s">
        <v>91</v>
      </c>
      <c r="D50" s="13" t="s">
        <v>92</v>
      </c>
      <c r="E50" s="13" t="s">
        <v>97</v>
      </c>
      <c r="F50" s="13" t="s">
        <v>98</v>
      </c>
      <c r="G50" s="11">
        <v>46051</v>
      </c>
      <c r="H50" t="str">
        <f>RIGHT(E50, 7)</f>
        <v>2033332</v>
      </c>
    </row>
    <row r="51" spans="1:8">
      <c r="A51" s="7" t="e" vm="1">
        <f>_xlfn.XLOOKUP([1]!CKD_FBU[[#This Row],[MODEL]],[1]!Models[Model_Description],[1]!Models[Cust_Name Abr],"No Customer",1)</f>
        <v>#REF!</v>
      </c>
      <c r="B51" s="8" t="s">
        <v>90</v>
      </c>
      <c r="C51" s="14" t="s">
        <v>91</v>
      </c>
      <c r="D51" s="13" t="s">
        <v>92</v>
      </c>
      <c r="E51" s="13" t="s">
        <v>99</v>
      </c>
      <c r="F51" s="13" t="s">
        <v>100</v>
      </c>
      <c r="G51" s="11">
        <v>46051</v>
      </c>
      <c r="H51" t="str">
        <f>RIGHT(E51, 7)</f>
        <v>2033333</v>
      </c>
    </row>
    <row r="52" spans="1:8">
      <c r="A52" s="7" t="e" vm="1">
        <f>_xlfn.XLOOKUP([1]!CKD_FBU[[#This Row],[MODEL]],[1]!Models[Model_Description],[1]!Models[Cust_Name Abr],"No Customer",1)</f>
        <v>#REF!</v>
      </c>
      <c r="B52" s="8" t="s">
        <v>90</v>
      </c>
      <c r="C52" s="14" t="s">
        <v>91</v>
      </c>
      <c r="D52" s="13" t="s">
        <v>92</v>
      </c>
      <c r="E52" s="13" t="s">
        <v>101</v>
      </c>
      <c r="F52" s="13" t="s">
        <v>102</v>
      </c>
      <c r="G52" s="11">
        <v>46051</v>
      </c>
      <c r="H52" t="str">
        <f>RIGHT(E52, 7)</f>
        <v>2033334</v>
      </c>
    </row>
    <row r="53" spans="1:8">
      <c r="A53" s="7" t="e" vm="1">
        <f>_xlfn.XLOOKUP([1]!CKD_FBU[[#This Row],[MODEL]],[1]!Models[Model_Description],[1]!Models[Cust_Name Abr],"No Customer",1)</f>
        <v>#REF!</v>
      </c>
      <c r="B53" s="8" t="s">
        <v>90</v>
      </c>
      <c r="C53" s="14" t="s">
        <v>91</v>
      </c>
      <c r="D53" s="13" t="s">
        <v>92</v>
      </c>
      <c r="E53" s="13" t="s">
        <v>103</v>
      </c>
      <c r="F53" s="13" t="s">
        <v>104</v>
      </c>
      <c r="G53" s="11">
        <v>46051</v>
      </c>
      <c r="H53" t="str">
        <f>RIGHT(E53, 7)</f>
        <v>2033335</v>
      </c>
    </row>
    <row r="54" spans="1:8">
      <c r="A54" s="7" t="e" vm="1">
        <f>_xlfn.XLOOKUP([1]!CKD_FBU[[#This Row],[MODEL]],[1]!Models[Model_Description],[1]!Models[Cust_Name Abr],"No Customer",1)</f>
        <v>#REF!</v>
      </c>
      <c r="B54" s="8" t="s">
        <v>90</v>
      </c>
      <c r="C54" s="14" t="s">
        <v>91</v>
      </c>
      <c r="D54" s="13" t="s">
        <v>92</v>
      </c>
      <c r="E54" s="13" t="s">
        <v>105</v>
      </c>
      <c r="F54" s="13" t="s">
        <v>106</v>
      </c>
      <c r="G54" s="11">
        <v>46051</v>
      </c>
      <c r="H54" t="str">
        <f>RIGHT(E54, 7)</f>
        <v>2033336</v>
      </c>
    </row>
    <row r="55" spans="1:8">
      <c r="A55" s="7" t="e" vm="1">
        <f>_xlfn.XLOOKUP([1]!CKD_FBU[[#This Row],[MODEL]],[1]!Models[Model_Description],[1]!Models[Cust_Name Abr],"No Customer",1)</f>
        <v>#REF!</v>
      </c>
      <c r="B55" s="8" t="s">
        <v>90</v>
      </c>
      <c r="C55" s="14" t="s">
        <v>91</v>
      </c>
      <c r="D55" s="13" t="s">
        <v>92</v>
      </c>
      <c r="E55" s="13" t="s">
        <v>107</v>
      </c>
      <c r="F55" s="13" t="s">
        <v>108</v>
      </c>
      <c r="G55" s="11">
        <v>46051</v>
      </c>
      <c r="H55" t="str">
        <f>RIGHT(E55, 7)</f>
        <v>2033337</v>
      </c>
    </row>
    <row r="56" spans="1:8">
      <c r="A56" s="7" t="e" vm="1">
        <f>_xlfn.XLOOKUP([1]!CKD_FBU[[#This Row],[MODEL]],[1]!Models[Model_Description],[1]!Models[Cust_Name Abr],"No Customer",1)</f>
        <v>#REF!</v>
      </c>
      <c r="B56" s="8" t="s">
        <v>90</v>
      </c>
      <c r="C56" s="14" t="s">
        <v>91</v>
      </c>
      <c r="D56" s="13" t="s">
        <v>92</v>
      </c>
      <c r="E56" s="13" t="s">
        <v>109</v>
      </c>
      <c r="F56" s="13" t="s">
        <v>110</v>
      </c>
      <c r="G56" s="11">
        <v>46051</v>
      </c>
      <c r="H56" t="str">
        <f>RIGHT(E56, 7)</f>
        <v>2033338</v>
      </c>
    </row>
    <row r="57" spans="1:8">
      <c r="A57" s="7" t="e" vm="1">
        <f>_xlfn.XLOOKUP([1]!CKD_FBU[[#This Row],[MODEL]],[1]!Models[Model_Description],[1]!Models[Cust_Name Abr],"No Customer",1)</f>
        <v>#REF!</v>
      </c>
      <c r="B57" s="8" t="s">
        <v>90</v>
      </c>
      <c r="C57" s="14" t="s">
        <v>91</v>
      </c>
      <c r="D57" s="13" t="s">
        <v>92</v>
      </c>
      <c r="E57" s="13" t="s">
        <v>111</v>
      </c>
      <c r="F57" s="13" t="s">
        <v>112</v>
      </c>
      <c r="G57" s="11">
        <v>46051</v>
      </c>
      <c r="H57" t="str">
        <f>RIGHT(E57, 7)</f>
        <v>2033339</v>
      </c>
    </row>
    <row r="58" spans="1:8">
      <c r="A58" s="7" t="e" vm="1">
        <f>_xlfn.XLOOKUP([1]!CKD_FBU[[#This Row],[MODEL]],[1]!Models[Model_Description],[1]!Models[Cust_Name Abr],"No Customer",1)</f>
        <v>#REF!</v>
      </c>
      <c r="B58" s="8" t="s">
        <v>90</v>
      </c>
      <c r="C58" s="14" t="s">
        <v>91</v>
      </c>
      <c r="D58" s="13" t="s">
        <v>92</v>
      </c>
      <c r="E58" s="13" t="s">
        <v>113</v>
      </c>
      <c r="F58" s="13" t="s">
        <v>114</v>
      </c>
      <c r="G58" s="11">
        <v>46051</v>
      </c>
      <c r="H58" t="str">
        <f>RIGHT(E58, 7)</f>
        <v>2033330</v>
      </c>
    </row>
    <row r="59" spans="1:8">
      <c r="A59" s="7" t="e" vm="1">
        <f>_xlfn.XLOOKUP([1]!CKD_FBU[[#This Row],[MODEL]],[1]!Models[Model_Description],[1]!Models[Cust_Name Abr],"No Customer",1)</f>
        <v>#REF!</v>
      </c>
      <c r="B59" s="8" t="s">
        <v>90</v>
      </c>
      <c r="C59" s="14" t="s">
        <v>91</v>
      </c>
      <c r="D59" s="13" t="s">
        <v>92</v>
      </c>
      <c r="E59" s="13" t="s">
        <v>115</v>
      </c>
      <c r="F59" s="13" t="s">
        <v>116</v>
      </c>
      <c r="G59" s="11">
        <v>46051</v>
      </c>
      <c r="H59" t="str">
        <f>RIGHT(E59, 7)</f>
        <v>2033331</v>
      </c>
    </row>
    <row r="60" spans="1:8">
      <c r="A60" s="7" t="e" vm="1">
        <f>_xlfn.XLOOKUP([1]!CKD_FBU[[#This Row],[MODEL]],[1]!Models[Model_Description],[1]!Models[Cust_Name Abr],"No Customer",1)</f>
        <v>#REF!</v>
      </c>
      <c r="B60" s="8" t="s">
        <v>11</v>
      </c>
      <c r="C60" s="12" t="s">
        <v>12</v>
      </c>
      <c r="D60" s="9" t="s">
        <v>117</v>
      </c>
      <c r="E60" s="9" t="s">
        <v>118</v>
      </c>
      <c r="F60" s="9">
        <v>8497511</v>
      </c>
      <c r="G60" s="10">
        <v>46052</v>
      </c>
      <c r="H60" t="str">
        <f>RIGHT(E60, 7)</f>
        <v>4110695</v>
      </c>
    </row>
    <row r="61" spans="1:8">
      <c r="A61" s="7" t="e" vm="1">
        <f>_xlfn.XLOOKUP([1]!CKD_FBU[[#This Row],[MODEL]],[1]!Models[Model_Description],[1]!Models[Cust_Name Abr],"No Customer",1)</f>
        <v>#REF!</v>
      </c>
      <c r="B61" s="8" t="s">
        <v>11</v>
      </c>
      <c r="C61" s="12" t="s">
        <v>12</v>
      </c>
      <c r="D61" s="9" t="s">
        <v>117</v>
      </c>
      <c r="E61" s="9" t="s">
        <v>119</v>
      </c>
      <c r="F61" s="9">
        <v>8497506</v>
      </c>
      <c r="G61" s="10">
        <v>46052</v>
      </c>
      <c r="H61" t="str">
        <f>RIGHT(E61, 7)</f>
        <v>4110699</v>
      </c>
    </row>
    <row r="62" spans="1:8">
      <c r="A62" s="7" t="e" vm="1">
        <f>_xlfn.XLOOKUP([1]!CKD_FBU[[#This Row],[MODEL]],[1]!Models[Model_Description],[1]!Models[Cust_Name Abr],"No Customer",1)</f>
        <v>#REF!</v>
      </c>
      <c r="B62" s="8" t="s">
        <v>11</v>
      </c>
      <c r="C62" s="12" t="s">
        <v>12</v>
      </c>
      <c r="D62" s="9" t="s">
        <v>117</v>
      </c>
      <c r="E62" s="9" t="s">
        <v>120</v>
      </c>
      <c r="F62" s="9">
        <v>8497505</v>
      </c>
      <c r="G62" s="10">
        <v>46052</v>
      </c>
      <c r="H62" t="str">
        <f>RIGHT(E62, 7)</f>
        <v>4110700</v>
      </c>
    </row>
    <row r="63" spans="1:8">
      <c r="A63" s="7" t="e" vm="1">
        <f>_xlfn.XLOOKUP([1]!CKD_FBU[[#This Row],[MODEL]],[1]!Models[Model_Description],[1]!Models[Cust_Name Abr],"No Customer",1)</f>
        <v>#REF!</v>
      </c>
      <c r="B63" s="8" t="s">
        <v>11</v>
      </c>
      <c r="C63" s="12" t="s">
        <v>12</v>
      </c>
      <c r="D63" s="9" t="s">
        <v>117</v>
      </c>
      <c r="E63" s="9" t="s">
        <v>121</v>
      </c>
      <c r="F63" s="9">
        <v>8497512</v>
      </c>
      <c r="G63" s="10">
        <v>46052</v>
      </c>
      <c r="H63" t="str">
        <f>RIGHT(E63, 7)</f>
        <v>4110692</v>
      </c>
    </row>
    <row r="64" spans="1:8">
      <c r="A64" s="7" t="e" vm="1">
        <f>_xlfn.XLOOKUP([1]!CKD_FBU[[#This Row],[MODEL]],[1]!Models[Model_Description],[1]!Models[Cust_Name Abr],"No Customer",1)</f>
        <v>#REF!</v>
      </c>
      <c r="B64" s="8" t="s">
        <v>11</v>
      </c>
      <c r="C64" s="12" t="s">
        <v>12</v>
      </c>
      <c r="D64" s="9" t="s">
        <v>117</v>
      </c>
      <c r="E64" s="9" t="s">
        <v>122</v>
      </c>
      <c r="F64" s="9">
        <v>8497513</v>
      </c>
      <c r="G64" s="10">
        <v>46052</v>
      </c>
      <c r="H64" t="str">
        <f>RIGHT(E64, 7)</f>
        <v>4110694</v>
      </c>
    </row>
    <row r="65" spans="1:8">
      <c r="A65" s="7" t="e" vm="1">
        <f>_xlfn.XLOOKUP([1]!CKD_FBU[[#This Row],[MODEL]],[1]!Models[Model_Description],[1]!Models[Cust_Name Abr],"No Customer",1)</f>
        <v>#REF!</v>
      </c>
      <c r="B65" s="8" t="s">
        <v>11</v>
      </c>
      <c r="C65" s="12" t="s">
        <v>12</v>
      </c>
      <c r="D65" s="9" t="s">
        <v>117</v>
      </c>
      <c r="E65" s="9" t="s">
        <v>123</v>
      </c>
      <c r="F65" s="9">
        <v>8497508</v>
      </c>
      <c r="G65" s="10">
        <v>46052</v>
      </c>
      <c r="H65" t="str">
        <f>RIGHT(E65, 7)</f>
        <v>4110697</v>
      </c>
    </row>
    <row r="66" spans="1:8">
      <c r="A66" s="7" t="e" vm="1">
        <f>_xlfn.XLOOKUP([1]!CKD_FBU[[#This Row],[MODEL]],[1]!Models[Model_Description],[1]!Models[Cust_Name Abr],"No Customer",1)</f>
        <v>#REF!</v>
      </c>
      <c r="B66" s="8" t="s">
        <v>11</v>
      </c>
      <c r="C66" s="12" t="s">
        <v>12</v>
      </c>
      <c r="D66" s="9" t="s">
        <v>117</v>
      </c>
      <c r="E66" s="9" t="s">
        <v>124</v>
      </c>
      <c r="F66" s="9">
        <v>8497507</v>
      </c>
      <c r="G66" s="10">
        <v>46052</v>
      </c>
      <c r="H66" t="str">
        <f>RIGHT(E66, 7)</f>
        <v>4110698</v>
      </c>
    </row>
    <row r="67" spans="1:8">
      <c r="A67" s="7" t="e" vm="1">
        <f>_xlfn.XLOOKUP([1]!CKD_FBU[[#This Row],[MODEL]],[1]!Models[Model_Description],[1]!Models[Cust_Name Abr],"No Customer",1)</f>
        <v>#REF!</v>
      </c>
      <c r="B67" s="8" t="s">
        <v>11</v>
      </c>
      <c r="C67" s="12" t="s">
        <v>12</v>
      </c>
      <c r="D67" s="9" t="s">
        <v>117</v>
      </c>
      <c r="E67" s="9" t="s">
        <v>125</v>
      </c>
      <c r="F67" s="9">
        <v>8497510</v>
      </c>
      <c r="G67" s="10">
        <v>46052</v>
      </c>
      <c r="H67" t="str">
        <f>RIGHT(E67, 7)</f>
        <v>4110693</v>
      </c>
    </row>
    <row r="68" spans="1:8">
      <c r="A68" s="7" t="e" vm="1">
        <f>_xlfn.XLOOKUP([1]!CKD_FBU[[#This Row],[MODEL]],[1]!Models[Model_Description],[1]!Models[Cust_Name Abr],"No Customer",1)</f>
        <v>#REF!</v>
      </c>
      <c r="B68" s="8" t="s">
        <v>11</v>
      </c>
      <c r="C68" s="12" t="s">
        <v>12</v>
      </c>
      <c r="D68" s="9" t="s">
        <v>117</v>
      </c>
      <c r="E68" s="9" t="s">
        <v>126</v>
      </c>
      <c r="F68" s="9">
        <v>8497509</v>
      </c>
      <c r="G68" s="10">
        <v>46052</v>
      </c>
      <c r="H68" t="str">
        <f>RIGHT(E68, 7)</f>
        <v>4110696</v>
      </c>
    </row>
    <row r="69" spans="1:8">
      <c r="A69" s="7" t="e" vm="1">
        <f>_xlfn.XLOOKUP([1]!CKD_FBU[[#This Row],[MODEL]],[1]!Models[Model_Description],[1]!Models[Cust_Name Abr],"No Customer",1)</f>
        <v>#REF!</v>
      </c>
      <c r="B69" s="8" t="s">
        <v>23</v>
      </c>
      <c r="C69" s="13" t="s">
        <v>24</v>
      </c>
      <c r="D69" s="13" t="s">
        <v>127</v>
      </c>
      <c r="E69" s="13" t="s">
        <v>128</v>
      </c>
      <c r="F69" s="13" t="s">
        <v>129</v>
      </c>
      <c r="G69" s="11">
        <v>46056</v>
      </c>
      <c r="H69" t="str">
        <f>RIGHT(E69, 7)</f>
        <v>P017156</v>
      </c>
    </row>
    <row r="70" spans="1:8">
      <c r="A70" s="7" t="e" vm="1">
        <f>_xlfn.XLOOKUP([1]!CKD_FBU[[#This Row],[MODEL]],[1]!Models[Model_Description],[1]!Models[Cust_Name Abr],"No Customer",1)</f>
        <v>#REF!</v>
      </c>
      <c r="B70" s="8" t="s">
        <v>23</v>
      </c>
      <c r="C70" s="13" t="s">
        <v>24</v>
      </c>
      <c r="D70" s="13" t="s">
        <v>127</v>
      </c>
      <c r="E70" s="13" t="s">
        <v>130</v>
      </c>
      <c r="F70" s="13" t="s">
        <v>131</v>
      </c>
      <c r="G70" s="11">
        <v>46056</v>
      </c>
      <c r="H70" t="str">
        <f>RIGHT(E70, 7)</f>
        <v>P017157</v>
      </c>
    </row>
    <row r="71" spans="1:8">
      <c r="A71" s="7" t="e" vm="1">
        <f>_xlfn.XLOOKUP([1]!CKD_FBU[[#This Row],[MODEL]],[1]!Models[Model_Description],[1]!Models[Cust_Name Abr],"No Customer",1)</f>
        <v>#REF!</v>
      </c>
      <c r="B71" s="8" t="s">
        <v>23</v>
      </c>
      <c r="C71" s="13" t="s">
        <v>24</v>
      </c>
      <c r="D71" s="13" t="s">
        <v>127</v>
      </c>
      <c r="E71" s="13" t="s">
        <v>132</v>
      </c>
      <c r="F71" s="13" t="s">
        <v>133</v>
      </c>
      <c r="G71" s="11">
        <v>46056</v>
      </c>
      <c r="H71" t="str">
        <f>RIGHT(E71, 7)</f>
        <v>P017158</v>
      </c>
    </row>
    <row r="72" spans="1:8">
      <c r="A72" s="7" t="e" vm="1">
        <f>_xlfn.XLOOKUP([1]!CKD_FBU[[#This Row],[MODEL]],[1]!Models[Model_Description],[1]!Models[Cust_Name Abr],"No Customer",1)</f>
        <v>#REF!</v>
      </c>
      <c r="B72" s="8" t="s">
        <v>23</v>
      </c>
      <c r="C72" s="13" t="s">
        <v>24</v>
      </c>
      <c r="D72" s="13" t="s">
        <v>127</v>
      </c>
      <c r="E72" s="13" t="s">
        <v>134</v>
      </c>
      <c r="F72" s="13" t="s">
        <v>135</v>
      </c>
      <c r="G72" s="11">
        <v>46056</v>
      </c>
      <c r="H72" t="str">
        <f>RIGHT(E72, 7)</f>
        <v>P017159</v>
      </c>
    </row>
    <row r="73" spans="1:8">
      <c r="A73" s="7" t="e" vm="1">
        <f>_xlfn.XLOOKUP([1]!CKD_FBU[[#This Row],[MODEL]],[1]!Models[Model_Description],[1]!Models[Cust_Name Abr],"No Customer",1)</f>
        <v>#REF!</v>
      </c>
      <c r="B73" s="8" t="s">
        <v>23</v>
      </c>
      <c r="C73" s="13" t="s">
        <v>24</v>
      </c>
      <c r="D73" s="13" t="s">
        <v>127</v>
      </c>
      <c r="E73" s="13" t="s">
        <v>136</v>
      </c>
      <c r="F73" s="13" t="s">
        <v>137</v>
      </c>
      <c r="G73" s="11">
        <v>46056</v>
      </c>
      <c r="H73" t="str">
        <f>RIGHT(E73, 7)</f>
        <v>P017148</v>
      </c>
    </row>
    <row r="74" spans="1:8">
      <c r="A74" s="7" t="e" vm="1">
        <f>_xlfn.XLOOKUP([1]!CKD_FBU[[#This Row],[MODEL]],[1]!Models[Model_Description],[1]!Models[Cust_Name Abr],"No Customer",1)</f>
        <v>#REF!</v>
      </c>
      <c r="B74" s="8" t="s">
        <v>23</v>
      </c>
      <c r="C74" s="13" t="s">
        <v>24</v>
      </c>
      <c r="D74" s="13" t="s">
        <v>127</v>
      </c>
      <c r="E74" s="13" t="s">
        <v>138</v>
      </c>
      <c r="F74" s="13" t="s">
        <v>139</v>
      </c>
      <c r="G74" s="11">
        <v>46056</v>
      </c>
      <c r="H74" t="str">
        <f>RIGHT(E74, 7)</f>
        <v>P017149</v>
      </c>
    </row>
    <row r="75" spans="1:8">
      <c r="A75" s="7" t="e" vm="1">
        <f>_xlfn.XLOOKUP([1]!CKD_FBU[[#This Row],[MODEL]],[1]!Models[Model_Description],[1]!Models[Cust_Name Abr],"No Customer",1)</f>
        <v>#REF!</v>
      </c>
      <c r="B75" s="8" t="s">
        <v>23</v>
      </c>
      <c r="C75" s="13" t="s">
        <v>24</v>
      </c>
      <c r="D75" s="13" t="s">
        <v>127</v>
      </c>
      <c r="E75" s="13" t="s">
        <v>140</v>
      </c>
      <c r="F75" s="13" t="s">
        <v>141</v>
      </c>
      <c r="G75" s="11">
        <v>46056</v>
      </c>
      <c r="H75" t="str">
        <f>RIGHT(E75, 7)</f>
        <v>P017150</v>
      </c>
    </row>
    <row r="76" spans="1:8">
      <c r="A76" s="7" t="e" vm="1">
        <f>_xlfn.XLOOKUP([1]!CKD_FBU[[#This Row],[MODEL]],[1]!Models[Model_Description],[1]!Models[Cust_Name Abr],"No Customer",1)</f>
        <v>#REF!</v>
      </c>
      <c r="B76" s="8" t="s">
        <v>23</v>
      </c>
      <c r="C76" s="13" t="s">
        <v>24</v>
      </c>
      <c r="D76" s="13" t="s">
        <v>127</v>
      </c>
      <c r="E76" s="13" t="s">
        <v>142</v>
      </c>
      <c r="F76" s="13" t="s">
        <v>143</v>
      </c>
      <c r="G76" s="11">
        <v>46056</v>
      </c>
      <c r="H76" t="str">
        <f>RIGHT(E76, 7)</f>
        <v>P017151</v>
      </c>
    </row>
    <row r="77" spans="1:8">
      <c r="A77" s="7" t="e" vm="1">
        <f>_xlfn.XLOOKUP([1]!CKD_FBU[[#This Row],[MODEL]],[1]!Models[Model_Description],[1]!Models[Cust_Name Abr],"No Customer",1)</f>
        <v>#REF!</v>
      </c>
      <c r="B77" s="8" t="s">
        <v>23</v>
      </c>
      <c r="C77" s="13" t="s">
        <v>24</v>
      </c>
      <c r="D77" s="13" t="s">
        <v>127</v>
      </c>
      <c r="E77" s="13" t="s">
        <v>144</v>
      </c>
      <c r="F77" s="13" t="s">
        <v>145</v>
      </c>
      <c r="G77" s="11">
        <v>46056</v>
      </c>
      <c r="H77" t="str">
        <f>RIGHT(E77, 7)</f>
        <v>P017152</v>
      </c>
    </row>
    <row r="78" spans="1:8">
      <c r="A78" s="7" t="e" vm="1">
        <f>_xlfn.XLOOKUP([1]!CKD_FBU[[#This Row],[MODEL]],[1]!Models[Model_Description],[1]!Models[Cust_Name Abr],"No Customer",1)</f>
        <v>#REF!</v>
      </c>
      <c r="B78" s="8" t="s">
        <v>23</v>
      </c>
      <c r="C78" s="13" t="s">
        <v>24</v>
      </c>
      <c r="D78" s="13" t="s">
        <v>127</v>
      </c>
      <c r="E78" s="13" t="s">
        <v>146</v>
      </c>
      <c r="F78" s="13" t="s">
        <v>147</v>
      </c>
      <c r="G78" s="11">
        <v>46056</v>
      </c>
      <c r="H78" t="str">
        <f>RIGHT(E78, 7)</f>
        <v>P017153</v>
      </c>
    </row>
    <row r="79" spans="1:8">
      <c r="A79" s="7" t="e" vm="1">
        <f>_xlfn.XLOOKUP([1]!CKD_FBU[[#This Row],[MODEL]],[1]!Models[Model_Description],[1]!Models[Cust_Name Abr],"No Customer",1)</f>
        <v>#REF!</v>
      </c>
      <c r="B79" s="8" t="s">
        <v>23</v>
      </c>
      <c r="C79" s="13" t="s">
        <v>24</v>
      </c>
      <c r="D79" s="13" t="s">
        <v>127</v>
      </c>
      <c r="E79" s="13" t="s">
        <v>148</v>
      </c>
      <c r="F79" s="13" t="s">
        <v>149</v>
      </c>
      <c r="G79" s="11">
        <v>46056</v>
      </c>
      <c r="H79" t="str">
        <f>RIGHT(E79, 7)</f>
        <v>P017154</v>
      </c>
    </row>
    <row r="80" spans="1:8">
      <c r="A80" s="7" t="e" vm="1">
        <f>_xlfn.XLOOKUP([1]!CKD_FBU[[#This Row],[MODEL]],[1]!Models[Model_Description],[1]!Models[Cust_Name Abr],"No Customer",1)</f>
        <v>#REF!</v>
      </c>
      <c r="B80" s="8" t="s">
        <v>23</v>
      </c>
      <c r="C80" s="13" t="s">
        <v>24</v>
      </c>
      <c r="D80" s="13" t="s">
        <v>127</v>
      </c>
      <c r="E80" s="13" t="s">
        <v>150</v>
      </c>
      <c r="F80" s="13" t="s">
        <v>151</v>
      </c>
      <c r="G80" s="11">
        <v>46056</v>
      </c>
      <c r="H80" t="str">
        <f>RIGHT(E80, 7)</f>
        <v>P017155</v>
      </c>
    </row>
    <row r="81" spans="1:8">
      <c r="A81" s="7" t="e" vm="1">
        <f>_xlfn.XLOOKUP([1]!CKD_FBU[[#This Row],[MODEL]],[1]!Models[Model_Description],[1]!Models[Cust_Name Abr],"No Customer",1)</f>
        <v>#REF!</v>
      </c>
      <c r="B81" s="8" t="s">
        <v>23</v>
      </c>
      <c r="C81" s="13" t="s">
        <v>24</v>
      </c>
      <c r="D81" s="13" t="s">
        <v>152</v>
      </c>
      <c r="E81" s="13" t="s">
        <v>153</v>
      </c>
      <c r="F81" s="13" t="s">
        <v>154</v>
      </c>
      <c r="G81" s="11">
        <v>46057</v>
      </c>
      <c r="H81" t="str">
        <f>RIGHT(E81, 7)</f>
        <v>P017110</v>
      </c>
    </row>
    <row r="82" spans="1:8">
      <c r="A82" s="7" t="e" vm="1">
        <f>_xlfn.XLOOKUP([1]!CKD_FBU[[#This Row],[MODEL]],[1]!Models[Model_Description],[1]!Models[Cust_Name Abr],"No Customer",1)</f>
        <v>#REF!</v>
      </c>
      <c r="B82" s="8" t="s">
        <v>23</v>
      </c>
      <c r="C82" s="13" t="s">
        <v>24</v>
      </c>
      <c r="D82" s="13" t="s">
        <v>152</v>
      </c>
      <c r="E82" s="13" t="s">
        <v>155</v>
      </c>
      <c r="F82" s="13" t="s">
        <v>156</v>
      </c>
      <c r="G82" s="11">
        <v>46057</v>
      </c>
      <c r="H82" t="str">
        <f>RIGHT(E82, 7)</f>
        <v>P017111</v>
      </c>
    </row>
    <row r="83" spans="1:8">
      <c r="A83" s="7" t="e" vm="1">
        <f>_xlfn.XLOOKUP([1]!CKD_FBU[[#This Row],[MODEL]],[1]!Models[Model_Description],[1]!Models[Cust_Name Abr],"No Customer",1)</f>
        <v>#REF!</v>
      </c>
      <c r="B83" s="8" t="s">
        <v>23</v>
      </c>
      <c r="C83" s="13" t="s">
        <v>24</v>
      </c>
      <c r="D83" s="13" t="s">
        <v>152</v>
      </c>
      <c r="E83" s="13" t="s">
        <v>157</v>
      </c>
      <c r="F83" s="13" t="s">
        <v>158</v>
      </c>
      <c r="G83" s="11">
        <v>46057</v>
      </c>
      <c r="H83" t="str">
        <f>RIGHT(E83, 7)</f>
        <v>P017112</v>
      </c>
    </row>
    <row r="84" spans="1:8">
      <c r="A84" s="7" t="e" vm="1">
        <f>_xlfn.XLOOKUP([1]!CKD_FBU[[#This Row],[MODEL]],[1]!Models[Model_Description],[1]!Models[Cust_Name Abr],"No Customer",1)</f>
        <v>#REF!</v>
      </c>
      <c r="B84" s="8" t="s">
        <v>23</v>
      </c>
      <c r="C84" s="13" t="s">
        <v>24</v>
      </c>
      <c r="D84" s="13" t="s">
        <v>152</v>
      </c>
      <c r="E84" s="13" t="s">
        <v>159</v>
      </c>
      <c r="F84" s="13" t="s">
        <v>160</v>
      </c>
      <c r="G84" s="11">
        <v>46057</v>
      </c>
      <c r="H84" t="str">
        <f>RIGHT(E84, 7)</f>
        <v>P017113</v>
      </c>
    </row>
    <row r="85" spans="1:8">
      <c r="A85" s="7" t="e" vm="1">
        <f>_xlfn.XLOOKUP([1]!CKD_FBU[[#This Row],[MODEL]],[1]!Models[Model_Description],[1]!Models[Cust_Name Abr],"No Customer",1)</f>
        <v>#REF!</v>
      </c>
      <c r="B85" s="8" t="s">
        <v>23</v>
      </c>
      <c r="C85" s="13" t="s">
        <v>24</v>
      </c>
      <c r="D85" s="13" t="s">
        <v>152</v>
      </c>
      <c r="E85" s="13" t="s">
        <v>161</v>
      </c>
      <c r="F85" s="13" t="s">
        <v>162</v>
      </c>
      <c r="G85" s="11">
        <v>46057</v>
      </c>
      <c r="H85" t="str">
        <f>RIGHT(E85, 7)</f>
        <v>P017114</v>
      </c>
    </row>
    <row r="86" spans="1:8">
      <c r="A86" s="7" t="e" vm="1">
        <f>_xlfn.XLOOKUP([1]!CKD_FBU[[#This Row],[MODEL]],[1]!Models[Model_Description],[1]!Models[Cust_Name Abr],"No Customer",1)</f>
        <v>#REF!</v>
      </c>
      <c r="B86" s="8" t="s">
        <v>23</v>
      </c>
      <c r="C86" s="13" t="s">
        <v>24</v>
      </c>
      <c r="D86" s="13" t="s">
        <v>152</v>
      </c>
      <c r="E86" s="13" t="s">
        <v>163</v>
      </c>
      <c r="F86" s="13" t="s">
        <v>164</v>
      </c>
      <c r="G86" s="11">
        <v>46057</v>
      </c>
      <c r="H86" t="str">
        <f>RIGHT(E86, 7)</f>
        <v>P017115</v>
      </c>
    </row>
    <row r="87" spans="1:8">
      <c r="A87" s="7" t="e" vm="1">
        <f>_xlfn.XLOOKUP([1]!CKD_FBU[[#This Row],[MODEL]],[1]!Models[Model_Description],[1]!Models[Cust_Name Abr],"No Customer",1)</f>
        <v>#REF!</v>
      </c>
      <c r="B87" s="8" t="s">
        <v>23</v>
      </c>
      <c r="C87" s="13" t="s">
        <v>24</v>
      </c>
      <c r="D87" s="13" t="s">
        <v>152</v>
      </c>
      <c r="E87" s="13" t="s">
        <v>165</v>
      </c>
      <c r="F87" s="13" t="s">
        <v>166</v>
      </c>
      <c r="G87" s="11">
        <v>46057</v>
      </c>
      <c r="H87" t="str">
        <f>RIGHT(E87, 7)</f>
        <v>P017116</v>
      </c>
    </row>
    <row r="88" spans="1:8">
      <c r="A88" s="7" t="e" vm="1">
        <f>_xlfn.XLOOKUP([1]!CKD_FBU[[#This Row],[MODEL]],[1]!Models[Model_Description],[1]!Models[Cust_Name Abr],"No Customer",1)</f>
        <v>#REF!</v>
      </c>
      <c r="B88" s="8" t="s">
        <v>23</v>
      </c>
      <c r="C88" s="13" t="s">
        <v>24</v>
      </c>
      <c r="D88" s="13" t="s">
        <v>152</v>
      </c>
      <c r="E88" s="13" t="s">
        <v>167</v>
      </c>
      <c r="F88" s="13" t="s">
        <v>168</v>
      </c>
      <c r="G88" s="11">
        <v>46057</v>
      </c>
      <c r="H88" t="str">
        <f>RIGHT(E88, 7)</f>
        <v>P017117</v>
      </c>
    </row>
    <row r="89" spans="1:8">
      <c r="A89" s="7" t="e" vm="1">
        <f>_xlfn.XLOOKUP([1]!CKD_FBU[[#This Row],[MODEL]],[1]!Models[Model_Description],[1]!Models[Cust_Name Abr],"No Customer",1)</f>
        <v>#REF!</v>
      </c>
      <c r="B89" s="8" t="s">
        <v>23</v>
      </c>
      <c r="C89" s="13" t="s">
        <v>24</v>
      </c>
      <c r="D89" s="13" t="s">
        <v>152</v>
      </c>
      <c r="E89" s="13" t="s">
        <v>169</v>
      </c>
      <c r="F89" s="13" t="s">
        <v>170</v>
      </c>
      <c r="G89" s="11">
        <v>46057</v>
      </c>
      <c r="H89" t="str">
        <f>RIGHT(E89, 7)</f>
        <v>P017106</v>
      </c>
    </row>
    <row r="90" spans="1:8">
      <c r="A90" s="7" t="e" vm="1">
        <f>_xlfn.XLOOKUP([1]!CKD_FBU[[#This Row],[MODEL]],[1]!Models[Model_Description],[1]!Models[Cust_Name Abr],"No Customer",1)</f>
        <v>#REF!</v>
      </c>
      <c r="B90" s="8" t="s">
        <v>23</v>
      </c>
      <c r="C90" s="13" t="s">
        <v>24</v>
      </c>
      <c r="D90" s="13" t="s">
        <v>152</v>
      </c>
      <c r="E90" s="13" t="s">
        <v>171</v>
      </c>
      <c r="F90" s="13" t="s">
        <v>172</v>
      </c>
      <c r="G90" s="11">
        <v>46057</v>
      </c>
      <c r="H90" t="str">
        <f>RIGHT(E90, 7)</f>
        <v>P017107</v>
      </c>
    </row>
    <row r="91" spans="1:8">
      <c r="A91" s="7" t="e" vm="1">
        <f>_xlfn.XLOOKUP([1]!CKD_FBU[[#This Row],[MODEL]],[1]!Models[Model_Description],[1]!Models[Cust_Name Abr],"No Customer",1)</f>
        <v>#REF!</v>
      </c>
      <c r="B91" s="8" t="s">
        <v>23</v>
      </c>
      <c r="C91" s="13" t="s">
        <v>24</v>
      </c>
      <c r="D91" s="13" t="s">
        <v>152</v>
      </c>
      <c r="E91" s="13" t="s">
        <v>173</v>
      </c>
      <c r="F91" s="13" t="s">
        <v>174</v>
      </c>
      <c r="G91" s="11">
        <v>46057</v>
      </c>
      <c r="H91" t="str">
        <f>RIGHT(E91, 7)</f>
        <v>P017108</v>
      </c>
    </row>
    <row r="92" spans="1:8">
      <c r="A92" s="7" t="e" vm="1">
        <f>_xlfn.XLOOKUP([1]!CKD_FBU[[#This Row],[MODEL]],[1]!Models[Model_Description],[1]!Models[Cust_Name Abr],"No Customer",1)</f>
        <v>#REF!</v>
      </c>
      <c r="B92" s="8" t="s">
        <v>23</v>
      </c>
      <c r="C92" s="13" t="s">
        <v>24</v>
      </c>
      <c r="D92" s="13" t="s">
        <v>152</v>
      </c>
      <c r="E92" s="13" t="s">
        <v>175</v>
      </c>
      <c r="F92" s="13" t="s">
        <v>176</v>
      </c>
      <c r="G92" s="11">
        <v>46057</v>
      </c>
      <c r="H92" t="str">
        <f>RIGHT(E92, 7)</f>
        <v>P017109</v>
      </c>
    </row>
    <row r="93" spans="1:8">
      <c r="A93" s="7" t="e" vm="1">
        <f>_xlfn.XLOOKUP([1]!CKD_FBU[[#This Row],[MODEL]],[1]!Models[Model_Description],[1]!Models[Cust_Name Abr],"No Customer",1)</f>
        <v>#REF!</v>
      </c>
      <c r="B93" s="8" t="s">
        <v>177</v>
      </c>
      <c r="C93" s="15" t="s">
        <v>178</v>
      </c>
      <c r="D93" s="15" t="s">
        <v>179</v>
      </c>
      <c r="E93" s="15" t="s">
        <v>180</v>
      </c>
      <c r="F93" s="15" t="s">
        <v>181</v>
      </c>
      <c r="G93" s="16">
        <v>46058</v>
      </c>
      <c r="H93" t="str">
        <f>RIGHT(E93, 7)</f>
        <v>SY00680</v>
      </c>
    </row>
    <row r="94" spans="1:8">
      <c r="A94" s="7" t="e" vm="1">
        <f>_xlfn.XLOOKUP([1]!CKD_FBU[[#This Row],[MODEL]],[1]!Models[Model_Description],[1]!Models[Cust_Name Abr],"No Customer",1)</f>
        <v>#REF!</v>
      </c>
      <c r="B94" s="8" t="s">
        <v>177</v>
      </c>
      <c r="C94" s="15" t="s">
        <v>178</v>
      </c>
      <c r="D94" s="15" t="s">
        <v>179</v>
      </c>
      <c r="E94" s="15" t="s">
        <v>182</v>
      </c>
      <c r="F94" s="15" t="s">
        <v>183</v>
      </c>
      <c r="G94" s="16">
        <v>46058</v>
      </c>
      <c r="H94" t="str">
        <f>RIGHT(E94, 7)</f>
        <v>SY00681</v>
      </c>
    </row>
    <row r="95" spans="1:8">
      <c r="A95" s="7" t="e" vm="1">
        <f>_xlfn.XLOOKUP([1]!CKD_FBU[[#This Row],[MODEL]],[1]!Models[Model_Description],[1]!Models[Cust_Name Abr],"No Customer",1)</f>
        <v>#REF!</v>
      </c>
      <c r="B95" s="8" t="s">
        <v>177</v>
      </c>
      <c r="C95" s="15" t="s">
        <v>178</v>
      </c>
      <c r="D95" s="15" t="s">
        <v>179</v>
      </c>
      <c r="E95" s="15" t="s">
        <v>184</v>
      </c>
      <c r="F95" s="15" t="s">
        <v>185</v>
      </c>
      <c r="G95" s="16">
        <v>46058</v>
      </c>
      <c r="H95" t="str">
        <f>RIGHT(E95, 7)</f>
        <v>SY00682</v>
      </c>
    </row>
    <row r="96" spans="1:8">
      <c r="A96" s="7" t="e" vm="1">
        <f>_xlfn.XLOOKUP([1]!CKD_FBU[[#This Row],[MODEL]],[1]!Models[Model_Description],[1]!Models[Cust_Name Abr],"No Customer",1)</f>
        <v>#REF!</v>
      </c>
      <c r="B96" s="8" t="s">
        <v>177</v>
      </c>
      <c r="C96" s="15" t="s">
        <v>178</v>
      </c>
      <c r="D96" s="15" t="s">
        <v>179</v>
      </c>
      <c r="E96" s="15" t="s">
        <v>186</v>
      </c>
      <c r="F96" s="15" t="s">
        <v>187</v>
      </c>
      <c r="G96" s="16">
        <v>46058</v>
      </c>
      <c r="H96" t="str">
        <f>RIGHT(E96, 7)</f>
        <v>SY00683</v>
      </c>
    </row>
    <row r="97" spans="1:8">
      <c r="A97" s="7" t="e" vm="1">
        <f>_xlfn.XLOOKUP([1]!CKD_FBU[[#This Row],[MODEL]],[1]!Models[Model_Description],[1]!Models[Cust_Name Abr],"No Customer",1)</f>
        <v>#REF!</v>
      </c>
      <c r="B97" s="8" t="s">
        <v>177</v>
      </c>
      <c r="C97" s="15" t="s">
        <v>178</v>
      </c>
      <c r="D97" s="15" t="s">
        <v>179</v>
      </c>
      <c r="E97" s="15" t="s">
        <v>188</v>
      </c>
      <c r="F97" s="15" t="s">
        <v>189</v>
      </c>
      <c r="G97" s="16">
        <v>46058</v>
      </c>
      <c r="H97" t="str">
        <f>RIGHT(E97, 7)</f>
        <v>SY00684</v>
      </c>
    </row>
    <row r="98" spans="1:8">
      <c r="A98" s="7" t="e" vm="1">
        <f>_xlfn.XLOOKUP([1]!CKD_FBU[[#This Row],[MODEL]],[1]!Models[Model_Description],[1]!Models[Cust_Name Abr],"No Customer",1)</f>
        <v>#REF!</v>
      </c>
      <c r="B98" s="8" t="s">
        <v>177</v>
      </c>
      <c r="C98" s="15" t="s">
        <v>178</v>
      </c>
      <c r="D98" s="15" t="s">
        <v>179</v>
      </c>
      <c r="E98" s="15" t="s">
        <v>190</v>
      </c>
      <c r="F98" s="15" t="s">
        <v>191</v>
      </c>
      <c r="G98" s="16">
        <v>46058</v>
      </c>
      <c r="H98" t="str">
        <f>RIGHT(E98, 7)</f>
        <v>SY00673</v>
      </c>
    </row>
    <row r="99" spans="1:8">
      <c r="A99" s="7" t="e" vm="1">
        <f>_xlfn.XLOOKUP([1]!CKD_FBU[[#This Row],[MODEL]],[1]!Models[Model_Description],[1]!Models[Cust_Name Abr],"No Customer",1)</f>
        <v>#REF!</v>
      </c>
      <c r="B99" s="8" t="s">
        <v>177</v>
      </c>
      <c r="C99" s="15" t="s">
        <v>178</v>
      </c>
      <c r="D99" s="15" t="s">
        <v>179</v>
      </c>
      <c r="E99" s="15" t="s">
        <v>192</v>
      </c>
      <c r="F99" s="15" t="s">
        <v>193</v>
      </c>
      <c r="G99" s="16">
        <v>46058</v>
      </c>
      <c r="H99" t="str">
        <f>RIGHT(E99, 7)</f>
        <v>SY00674</v>
      </c>
    </row>
    <row r="100" spans="1:8">
      <c r="A100" s="7" t="e" vm="1">
        <f>_xlfn.XLOOKUP([1]!CKD_FBU[[#This Row],[MODEL]],[1]!Models[Model_Description],[1]!Models[Cust_Name Abr],"No Customer",1)</f>
        <v>#REF!</v>
      </c>
      <c r="B100" s="8" t="s">
        <v>177</v>
      </c>
      <c r="C100" s="15" t="s">
        <v>178</v>
      </c>
      <c r="D100" s="15" t="s">
        <v>179</v>
      </c>
      <c r="E100" s="15" t="s">
        <v>194</v>
      </c>
      <c r="F100" s="15" t="s">
        <v>195</v>
      </c>
      <c r="G100" s="16">
        <v>46058</v>
      </c>
      <c r="H100" t="str">
        <f>RIGHT(E100, 7)</f>
        <v>SY00675</v>
      </c>
    </row>
    <row r="101" spans="1:8">
      <c r="A101" s="7" t="e" vm="1">
        <f>_xlfn.XLOOKUP([1]!CKD_FBU[[#This Row],[MODEL]],[1]!Models[Model_Description],[1]!Models[Cust_Name Abr],"No Customer",1)</f>
        <v>#REF!</v>
      </c>
      <c r="B101" s="8" t="s">
        <v>177</v>
      </c>
      <c r="C101" s="15" t="s">
        <v>178</v>
      </c>
      <c r="D101" s="15" t="s">
        <v>179</v>
      </c>
      <c r="E101" s="15" t="s">
        <v>196</v>
      </c>
      <c r="F101" s="15" t="s">
        <v>197</v>
      </c>
      <c r="G101" s="16">
        <v>46058</v>
      </c>
      <c r="H101" t="str">
        <f>RIGHT(E101, 7)</f>
        <v>SY00676</v>
      </c>
    </row>
    <row r="102" spans="1:8">
      <c r="A102" s="7" t="e" vm="1">
        <f>_xlfn.XLOOKUP([1]!CKD_FBU[[#This Row],[MODEL]],[1]!Models[Model_Description],[1]!Models[Cust_Name Abr],"No Customer",1)</f>
        <v>#REF!</v>
      </c>
      <c r="B102" s="8" t="s">
        <v>177</v>
      </c>
      <c r="C102" s="15" t="s">
        <v>178</v>
      </c>
      <c r="D102" s="15" t="s">
        <v>179</v>
      </c>
      <c r="E102" s="15" t="s">
        <v>198</v>
      </c>
      <c r="F102" s="15" t="s">
        <v>199</v>
      </c>
      <c r="G102" s="16">
        <v>46058</v>
      </c>
      <c r="H102" t="str">
        <f>RIGHT(E102, 7)</f>
        <v>SY00677</v>
      </c>
    </row>
    <row r="103" spans="1:8">
      <c r="A103" s="7" t="e" vm="1">
        <f>_xlfn.XLOOKUP([1]!CKD_FBU[[#This Row],[MODEL]],[1]!Models[Model_Description],[1]!Models[Cust_Name Abr],"No Customer",1)</f>
        <v>#REF!</v>
      </c>
      <c r="B103" s="8" t="s">
        <v>177</v>
      </c>
      <c r="C103" s="15" t="s">
        <v>178</v>
      </c>
      <c r="D103" s="15" t="s">
        <v>179</v>
      </c>
      <c r="E103" s="15" t="s">
        <v>200</v>
      </c>
      <c r="F103" s="15" t="s">
        <v>201</v>
      </c>
      <c r="G103" s="16">
        <v>46058</v>
      </c>
      <c r="H103" t="str">
        <f>RIGHT(E103, 7)</f>
        <v>SY00678</v>
      </c>
    </row>
    <row r="104" spans="1:8">
      <c r="A104" s="7" t="e" vm="1">
        <f>_xlfn.XLOOKUP([1]!CKD_FBU[[#This Row],[MODEL]],[1]!Models[Model_Description],[1]!Models[Cust_Name Abr],"No Customer",1)</f>
        <v>#REF!</v>
      </c>
      <c r="B104" s="8" t="s">
        <v>177</v>
      </c>
      <c r="C104" s="15" t="s">
        <v>178</v>
      </c>
      <c r="D104" s="15" t="s">
        <v>179</v>
      </c>
      <c r="E104" s="15" t="s">
        <v>202</v>
      </c>
      <c r="F104" s="15" t="s">
        <v>203</v>
      </c>
      <c r="G104" s="16">
        <v>46058</v>
      </c>
      <c r="H104" t="str">
        <f>RIGHT(E104, 7)</f>
        <v>SY00679</v>
      </c>
    </row>
    <row r="105" spans="1:8">
      <c r="A105" s="7" t="e" vm="1">
        <f>_xlfn.XLOOKUP([1]!CKD_FBU[[#This Row],[MODEL]],[1]!Models[Model_Description],[1]!Models[Cust_Name Abr],"No Customer",1)</f>
        <v>#REF!</v>
      </c>
      <c r="B105" s="8" t="s">
        <v>204</v>
      </c>
      <c r="C105" s="13" t="s">
        <v>205</v>
      </c>
      <c r="D105" s="13" t="s">
        <v>206</v>
      </c>
      <c r="E105" s="13" t="s">
        <v>207</v>
      </c>
      <c r="F105" s="13" t="s">
        <v>208</v>
      </c>
      <c r="G105" s="11">
        <v>46058</v>
      </c>
      <c r="H105" t="str">
        <f>RIGHT(E105, 7)</f>
        <v>SY12186</v>
      </c>
    </row>
    <row r="106" spans="1:8">
      <c r="A106" s="7" t="e" vm="1">
        <f>_xlfn.XLOOKUP([1]!CKD_FBU[[#This Row],[MODEL]],[1]!Models[Model_Description],[1]!Models[Cust_Name Abr],"No Customer",1)</f>
        <v>#REF!</v>
      </c>
      <c r="B106" s="8" t="s">
        <v>204</v>
      </c>
      <c r="C106" s="13" t="s">
        <v>205</v>
      </c>
      <c r="D106" s="13" t="s">
        <v>206</v>
      </c>
      <c r="E106" s="13" t="s">
        <v>209</v>
      </c>
      <c r="F106" s="13" t="s">
        <v>210</v>
      </c>
      <c r="G106" s="11">
        <v>46058</v>
      </c>
      <c r="H106" t="str">
        <f>RIGHT(E106, 7)</f>
        <v>SY12187</v>
      </c>
    </row>
    <row r="107" spans="1:8">
      <c r="A107" s="7" t="e" vm="1">
        <f>_xlfn.XLOOKUP([1]!CKD_FBU[[#This Row],[MODEL]],[1]!Models[Model_Description],[1]!Models[Cust_Name Abr],"No Customer",1)</f>
        <v>#REF!</v>
      </c>
      <c r="B107" s="8" t="s">
        <v>204</v>
      </c>
      <c r="C107" s="13" t="s">
        <v>205</v>
      </c>
      <c r="D107" s="13" t="s">
        <v>206</v>
      </c>
      <c r="E107" s="13" t="s">
        <v>211</v>
      </c>
      <c r="F107" s="13" t="s">
        <v>212</v>
      </c>
      <c r="G107" s="11">
        <v>46058</v>
      </c>
      <c r="H107" t="str">
        <f>RIGHT(E107, 7)</f>
        <v>SY12188</v>
      </c>
    </row>
    <row r="108" spans="1:8">
      <c r="A108" s="7" t="e" vm="1">
        <f>_xlfn.XLOOKUP([1]!CKD_FBU[[#This Row],[MODEL]],[1]!Models[Model_Description],[1]!Models[Cust_Name Abr],"No Customer",1)</f>
        <v>#REF!</v>
      </c>
      <c r="B108" s="8" t="s">
        <v>204</v>
      </c>
      <c r="C108" s="13" t="s">
        <v>205</v>
      </c>
      <c r="D108" s="13" t="s">
        <v>206</v>
      </c>
      <c r="E108" s="13" t="s">
        <v>213</v>
      </c>
      <c r="F108" s="13" t="s">
        <v>214</v>
      </c>
      <c r="G108" s="11">
        <v>46058</v>
      </c>
      <c r="H108" t="str">
        <f>RIGHT(E108, 7)</f>
        <v>SY12189</v>
      </c>
    </row>
    <row r="109" spans="1:8">
      <c r="A109" s="7" t="e" vm="1">
        <f>_xlfn.XLOOKUP([1]!CKD_FBU[[#This Row],[MODEL]],[1]!Models[Model_Description],[1]!Models[Cust_Name Abr],"No Customer",1)</f>
        <v>#REF!</v>
      </c>
      <c r="B109" s="8" t="s">
        <v>204</v>
      </c>
      <c r="C109" s="13" t="s">
        <v>205</v>
      </c>
      <c r="D109" s="13" t="s">
        <v>206</v>
      </c>
      <c r="E109" s="13" t="s">
        <v>215</v>
      </c>
      <c r="F109" s="13" t="s">
        <v>216</v>
      </c>
      <c r="G109" s="11">
        <v>46058</v>
      </c>
      <c r="H109" t="str">
        <f>RIGHT(E109, 7)</f>
        <v>SY12190</v>
      </c>
    </row>
    <row r="110" spans="1:8">
      <c r="A110" s="7" t="e" vm="1">
        <f>_xlfn.XLOOKUP([1]!CKD_FBU[[#This Row],[MODEL]],[1]!Models[Model_Description],[1]!Models[Cust_Name Abr],"No Customer",1)</f>
        <v>#REF!</v>
      </c>
      <c r="B110" s="8" t="s">
        <v>204</v>
      </c>
      <c r="C110" s="13" t="s">
        <v>205</v>
      </c>
      <c r="D110" s="13" t="s">
        <v>206</v>
      </c>
      <c r="E110" s="13" t="s">
        <v>217</v>
      </c>
      <c r="F110" s="13" t="s">
        <v>218</v>
      </c>
      <c r="G110" s="11">
        <v>46058</v>
      </c>
      <c r="H110" t="str">
        <f>RIGHT(E110, 7)</f>
        <v>SY12191</v>
      </c>
    </row>
    <row r="111" spans="1:8">
      <c r="A111" s="7" t="e" vm="1">
        <f>_xlfn.XLOOKUP([1]!CKD_FBU[[#This Row],[MODEL]],[1]!Models[Model_Description],[1]!Models[Cust_Name Abr],"No Customer",1)</f>
        <v>#REF!</v>
      </c>
      <c r="B111" s="8" t="s">
        <v>204</v>
      </c>
      <c r="C111" s="13" t="s">
        <v>205</v>
      </c>
      <c r="D111" s="13" t="s">
        <v>206</v>
      </c>
      <c r="E111" s="13" t="s">
        <v>219</v>
      </c>
      <c r="F111" s="13" t="s">
        <v>220</v>
      </c>
      <c r="G111" s="11">
        <v>46058</v>
      </c>
      <c r="H111" t="str">
        <f>RIGHT(E111, 7)</f>
        <v>SY12192</v>
      </c>
    </row>
    <row r="112" spans="1:8">
      <c r="A112" s="7" t="e" vm="1">
        <f>_xlfn.XLOOKUP([1]!CKD_FBU[[#This Row],[MODEL]],[1]!Models[Model_Description],[1]!Models[Cust_Name Abr],"No Customer",1)</f>
        <v>#REF!</v>
      </c>
      <c r="B112" s="8" t="s">
        <v>204</v>
      </c>
      <c r="C112" s="13" t="s">
        <v>205</v>
      </c>
      <c r="D112" s="13" t="s">
        <v>206</v>
      </c>
      <c r="E112" s="13" t="s">
        <v>221</v>
      </c>
      <c r="F112" s="13" t="s">
        <v>222</v>
      </c>
      <c r="G112" s="11">
        <v>46058</v>
      </c>
      <c r="H112" t="str">
        <f>RIGHT(E112, 7)</f>
        <v>SY12193</v>
      </c>
    </row>
    <row r="113" spans="1:8">
      <c r="A113" s="7" t="e" vm="1">
        <f>_xlfn.XLOOKUP([1]!CKD_FBU[[#This Row],[MODEL]],[1]!Models[Model_Description],[1]!Models[Cust_Name Abr],"No Customer",1)</f>
        <v>#REF!</v>
      </c>
      <c r="B113" s="8" t="s">
        <v>204</v>
      </c>
      <c r="C113" s="13" t="s">
        <v>205</v>
      </c>
      <c r="D113" s="13" t="s">
        <v>206</v>
      </c>
      <c r="E113" s="13" t="s">
        <v>223</v>
      </c>
      <c r="F113" s="13" t="s">
        <v>224</v>
      </c>
      <c r="G113" s="11">
        <v>46058</v>
      </c>
      <c r="H113" t="str">
        <f>RIGHT(E113, 7)</f>
        <v>SY12194</v>
      </c>
    </row>
    <row r="114" spans="1:8">
      <c r="A114" s="7" t="e" vm="1">
        <f>_xlfn.XLOOKUP([1]!CKD_FBU[[#This Row],[MODEL]],[1]!Models[Model_Description],[1]!Models[Cust_Name Abr],"No Customer",1)</f>
        <v>#REF!</v>
      </c>
      <c r="B114" s="8" t="s">
        <v>204</v>
      </c>
      <c r="C114" s="13" t="s">
        <v>205</v>
      </c>
      <c r="D114" s="13" t="s">
        <v>206</v>
      </c>
      <c r="E114" s="13" t="s">
        <v>225</v>
      </c>
      <c r="F114" s="13" t="s">
        <v>226</v>
      </c>
      <c r="G114" s="11">
        <v>46058</v>
      </c>
      <c r="H114" t="str">
        <f>RIGHT(E114, 7)</f>
        <v>SY12195</v>
      </c>
    </row>
    <row r="115" spans="1:8">
      <c r="A115" s="7" t="e" vm="1">
        <f>_xlfn.XLOOKUP([1]!CKD_FBU[[#This Row],[MODEL]],[1]!Models[Model_Description],[1]!Models[Cust_Name Abr],"No Customer",1)</f>
        <v>#REF!</v>
      </c>
      <c r="B115" s="8" t="s">
        <v>204</v>
      </c>
      <c r="C115" s="13" t="s">
        <v>205</v>
      </c>
      <c r="D115" s="13" t="s">
        <v>206</v>
      </c>
      <c r="E115" s="13" t="s">
        <v>227</v>
      </c>
      <c r="F115" s="13" t="s">
        <v>228</v>
      </c>
      <c r="G115" s="11">
        <v>46058</v>
      </c>
      <c r="H115" t="str">
        <f>RIGHT(E115, 7)</f>
        <v>SY12196</v>
      </c>
    </row>
    <row r="116" spans="1:8">
      <c r="A116" s="7" t="e" vm="1">
        <f>_xlfn.XLOOKUP([1]!CKD_FBU[[#This Row],[MODEL]],[1]!Models[Model_Description],[1]!Models[Cust_Name Abr],"No Customer",1)</f>
        <v>#REF!</v>
      </c>
      <c r="B116" s="8" t="s">
        <v>204</v>
      </c>
      <c r="C116" s="13" t="s">
        <v>205</v>
      </c>
      <c r="D116" s="13" t="s">
        <v>206</v>
      </c>
      <c r="E116" s="13" t="s">
        <v>229</v>
      </c>
      <c r="F116" s="13" t="s">
        <v>230</v>
      </c>
      <c r="G116" s="11">
        <v>46058</v>
      </c>
      <c r="H116" t="str">
        <f>RIGHT(E116, 7)</f>
        <v>SY12185</v>
      </c>
    </row>
    <row r="117" spans="1:8">
      <c r="A117" s="7" t="e" vm="1">
        <f>_xlfn.XLOOKUP([1]!CKD_FBU[[#This Row],[MODEL]],[1]!Models[Model_Description],[1]!Models[Cust_Name Abr],"No Customer",1)</f>
        <v>#REF!</v>
      </c>
      <c r="B117" s="8" t="s">
        <v>204</v>
      </c>
      <c r="C117" s="13" t="s">
        <v>205</v>
      </c>
      <c r="D117" s="13" t="s">
        <v>231</v>
      </c>
      <c r="E117" s="13" t="s">
        <v>232</v>
      </c>
      <c r="F117" s="13" t="s">
        <v>233</v>
      </c>
      <c r="G117" s="11">
        <v>46062</v>
      </c>
      <c r="H117" t="str">
        <f>RIGHT(E117, 7)</f>
        <v>SY12227</v>
      </c>
    </row>
    <row r="118" spans="1:8">
      <c r="A118" s="7" t="e" vm="1">
        <f>_xlfn.XLOOKUP([1]!CKD_FBU[[#This Row],[MODEL]],[1]!Models[Model_Description],[1]!Models[Cust_Name Abr],"No Customer",1)</f>
        <v>#REF!</v>
      </c>
      <c r="B118" s="8" t="s">
        <v>204</v>
      </c>
      <c r="C118" s="13" t="s">
        <v>205</v>
      </c>
      <c r="D118" s="13" t="s">
        <v>231</v>
      </c>
      <c r="E118" s="13" t="s">
        <v>234</v>
      </c>
      <c r="F118" s="13" t="s">
        <v>235</v>
      </c>
      <c r="G118" s="11">
        <v>46062</v>
      </c>
      <c r="H118" t="str">
        <f>RIGHT(E118, 7)</f>
        <v>SY12229</v>
      </c>
    </row>
    <row r="119" spans="1:8">
      <c r="A119" s="7" t="e" vm="1">
        <f>_xlfn.XLOOKUP([1]!CKD_FBU[[#This Row],[MODEL]],[1]!Models[Model_Description],[1]!Models[Cust_Name Abr],"No Customer",1)</f>
        <v>#REF!</v>
      </c>
      <c r="B119" s="8" t="s">
        <v>204</v>
      </c>
      <c r="C119" s="13" t="s">
        <v>205</v>
      </c>
      <c r="D119" s="13" t="s">
        <v>231</v>
      </c>
      <c r="E119" s="13" t="s">
        <v>236</v>
      </c>
      <c r="F119" s="13" t="s">
        <v>237</v>
      </c>
      <c r="G119" s="11">
        <v>46062</v>
      </c>
      <c r="H119" t="str">
        <f>RIGHT(E119, 7)</f>
        <v>SY12230</v>
      </c>
    </row>
    <row r="120" spans="1:8">
      <c r="A120" s="7" t="e" vm="1">
        <f>_xlfn.XLOOKUP([1]!CKD_FBU[[#This Row],[MODEL]],[1]!Models[Model_Description],[1]!Models[Cust_Name Abr],"No Customer",1)</f>
        <v>#REF!</v>
      </c>
      <c r="B120" s="8" t="s">
        <v>204</v>
      </c>
      <c r="C120" s="13" t="s">
        <v>205</v>
      </c>
      <c r="D120" s="13" t="s">
        <v>231</v>
      </c>
      <c r="E120" s="13" t="s">
        <v>238</v>
      </c>
      <c r="F120" s="13" t="s">
        <v>239</v>
      </c>
      <c r="G120" s="11">
        <v>46062</v>
      </c>
      <c r="H120" t="str">
        <f>RIGHT(E120, 7)</f>
        <v>SY12231</v>
      </c>
    </row>
    <row r="121" spans="1:8">
      <c r="A121" s="7" t="e" vm="1">
        <f>_xlfn.XLOOKUP([1]!CKD_FBU[[#This Row],[MODEL]],[1]!Models[Model_Description],[1]!Models[Cust_Name Abr],"No Customer",1)</f>
        <v>#REF!</v>
      </c>
      <c r="B121" s="8" t="s">
        <v>204</v>
      </c>
      <c r="C121" s="13" t="s">
        <v>205</v>
      </c>
      <c r="D121" s="13" t="s">
        <v>231</v>
      </c>
      <c r="E121" s="13" t="s">
        <v>240</v>
      </c>
      <c r="F121" s="13" t="s">
        <v>241</v>
      </c>
      <c r="G121" s="11">
        <v>46062</v>
      </c>
      <c r="H121" t="str">
        <f>RIGHT(E121, 7)</f>
        <v>SY12232</v>
      </c>
    </row>
    <row r="122" spans="1:8">
      <c r="A122" s="7" t="e" vm="1">
        <f>_xlfn.XLOOKUP([1]!CKD_FBU[[#This Row],[MODEL]],[1]!Models[Model_Description],[1]!Models[Cust_Name Abr],"No Customer",1)</f>
        <v>#REF!</v>
      </c>
      <c r="B122" s="8" t="s">
        <v>204</v>
      </c>
      <c r="C122" s="13" t="s">
        <v>205</v>
      </c>
      <c r="D122" s="13" t="s">
        <v>231</v>
      </c>
      <c r="E122" s="13" t="s">
        <v>242</v>
      </c>
      <c r="F122" s="13" t="s">
        <v>243</v>
      </c>
      <c r="G122" s="11">
        <v>46062</v>
      </c>
      <c r="H122" t="str">
        <f>RIGHT(E122, 7)</f>
        <v>SY12221</v>
      </c>
    </row>
    <row r="123" spans="1:8">
      <c r="A123" s="7" t="e" vm="1">
        <f>_xlfn.XLOOKUP([1]!CKD_FBU[[#This Row],[MODEL]],[1]!Models[Model_Description],[1]!Models[Cust_Name Abr],"No Customer",1)</f>
        <v>#REF!</v>
      </c>
      <c r="B123" s="8" t="s">
        <v>204</v>
      </c>
      <c r="C123" s="13" t="s">
        <v>205</v>
      </c>
      <c r="D123" s="13" t="s">
        <v>231</v>
      </c>
      <c r="E123" s="13" t="s">
        <v>244</v>
      </c>
      <c r="F123" s="13" t="s">
        <v>245</v>
      </c>
      <c r="G123" s="11">
        <v>46062</v>
      </c>
      <c r="H123" t="str">
        <f>RIGHT(E123, 7)</f>
        <v>SY12222</v>
      </c>
    </row>
    <row r="124" spans="1:8">
      <c r="A124" s="7" t="e" vm="1">
        <f>_xlfn.XLOOKUP([1]!CKD_FBU[[#This Row],[MODEL]],[1]!Models[Model_Description],[1]!Models[Cust_Name Abr],"No Customer",1)</f>
        <v>#REF!</v>
      </c>
      <c r="B124" s="8" t="s">
        <v>204</v>
      </c>
      <c r="C124" s="13" t="s">
        <v>205</v>
      </c>
      <c r="D124" s="13" t="s">
        <v>231</v>
      </c>
      <c r="E124" s="13" t="s">
        <v>246</v>
      </c>
      <c r="F124" s="13" t="s">
        <v>247</v>
      </c>
      <c r="G124" s="11">
        <v>46062</v>
      </c>
      <c r="H124" t="str">
        <f>RIGHT(E124, 7)</f>
        <v>SY12223</v>
      </c>
    </row>
    <row r="125" spans="1:8">
      <c r="A125" s="7" t="e" vm="1">
        <f>_xlfn.XLOOKUP([1]!CKD_FBU[[#This Row],[MODEL]],[1]!Models[Model_Description],[1]!Models[Cust_Name Abr],"No Customer",1)</f>
        <v>#REF!</v>
      </c>
      <c r="B125" s="8" t="s">
        <v>204</v>
      </c>
      <c r="C125" s="13" t="s">
        <v>205</v>
      </c>
      <c r="D125" s="13" t="s">
        <v>231</v>
      </c>
      <c r="E125" s="13" t="s">
        <v>248</v>
      </c>
      <c r="F125" s="13" t="s">
        <v>249</v>
      </c>
      <c r="G125" s="11">
        <v>46062</v>
      </c>
      <c r="H125" t="str">
        <f>RIGHT(E125, 7)</f>
        <v>SY12224</v>
      </c>
    </row>
    <row r="126" spans="1:8">
      <c r="A126" s="7" t="e" vm="1">
        <f>_xlfn.XLOOKUP([1]!CKD_FBU[[#This Row],[MODEL]],[1]!Models[Model_Description],[1]!Models[Cust_Name Abr],"No Customer",1)</f>
        <v>#REF!</v>
      </c>
      <c r="B126" s="8" t="s">
        <v>204</v>
      </c>
      <c r="C126" s="13" t="s">
        <v>205</v>
      </c>
      <c r="D126" s="13" t="s">
        <v>231</v>
      </c>
      <c r="E126" s="13" t="s">
        <v>250</v>
      </c>
      <c r="F126" s="13" t="s">
        <v>251</v>
      </c>
      <c r="G126" s="11">
        <v>46062</v>
      </c>
      <c r="H126" t="str">
        <f>RIGHT(E126, 7)</f>
        <v>SY12225</v>
      </c>
    </row>
    <row r="127" spans="1:8">
      <c r="A127" s="7" t="e" vm="1">
        <f>_xlfn.XLOOKUP([1]!CKD_FBU[[#This Row],[MODEL]],[1]!Models[Model_Description],[1]!Models[Cust_Name Abr],"No Customer",1)</f>
        <v>#REF!</v>
      </c>
      <c r="B127" s="8" t="s">
        <v>204</v>
      </c>
      <c r="C127" s="13" t="s">
        <v>205</v>
      </c>
      <c r="D127" s="13" t="s">
        <v>231</v>
      </c>
      <c r="E127" s="13" t="s">
        <v>252</v>
      </c>
      <c r="F127" s="13" t="s">
        <v>253</v>
      </c>
      <c r="G127" s="11">
        <v>46062</v>
      </c>
      <c r="H127" t="str">
        <f>RIGHT(E127, 7)</f>
        <v>SY12226</v>
      </c>
    </row>
    <row r="128" spans="1:8">
      <c r="A128" s="7" t="e" vm="1">
        <f>_xlfn.XLOOKUP([1]!CKD_FBU[[#This Row],[MODEL]],[1]!Models[Model_Description],[1]!Models[Cust_Name Abr],"No Customer",1)</f>
        <v>#REF!</v>
      </c>
      <c r="B128" s="8" t="s">
        <v>204</v>
      </c>
      <c r="C128" s="13" t="s">
        <v>205</v>
      </c>
      <c r="D128" s="13" t="s">
        <v>231</v>
      </c>
      <c r="E128" s="13" t="s">
        <v>254</v>
      </c>
      <c r="F128" s="13" t="s">
        <v>255</v>
      </c>
      <c r="G128" s="11">
        <v>46062</v>
      </c>
      <c r="H128" t="str">
        <f>RIGHT(E128, 7)</f>
        <v>SY12228</v>
      </c>
    </row>
    <row r="129" spans="1:8">
      <c r="A129" s="7" t="e" vm="1">
        <f>_xlfn.XLOOKUP([1]!CKD_FBU[[#This Row],[MODEL]],[1]!Models[Model_Description],[1]!Models[Cust_Name Abr],"No Customer",1)</f>
        <v>#REF!</v>
      </c>
      <c r="B129" s="8" t="s">
        <v>23</v>
      </c>
      <c r="C129" s="13" t="s">
        <v>24</v>
      </c>
      <c r="D129" s="13" t="s">
        <v>256</v>
      </c>
      <c r="E129" s="13" t="s">
        <v>257</v>
      </c>
      <c r="F129" s="13" t="s">
        <v>258</v>
      </c>
      <c r="G129" s="11">
        <v>46065</v>
      </c>
      <c r="H129" t="str">
        <f>RIGHT(E129, 7)</f>
        <v>P017253</v>
      </c>
    </row>
    <row r="130" spans="1:8">
      <c r="A130" s="7" t="e" vm="1">
        <f>_xlfn.XLOOKUP([1]!CKD_FBU[[#This Row],[MODEL]],[1]!Models[Model_Description],[1]!Models[Cust_Name Abr],"No Customer",1)</f>
        <v>#REF!</v>
      </c>
      <c r="B130" s="8" t="s">
        <v>23</v>
      </c>
      <c r="C130" s="13" t="s">
        <v>24</v>
      </c>
      <c r="D130" s="13" t="s">
        <v>256</v>
      </c>
      <c r="E130" s="13" t="s">
        <v>259</v>
      </c>
      <c r="F130" s="13" t="s">
        <v>260</v>
      </c>
      <c r="G130" s="11">
        <v>46065</v>
      </c>
      <c r="H130" t="str">
        <f>RIGHT(E130, 7)</f>
        <v>P017254</v>
      </c>
    </row>
    <row r="131" spans="1:8">
      <c r="A131" s="7" t="e" vm="1">
        <f>_xlfn.XLOOKUP([1]!CKD_FBU[[#This Row],[MODEL]],[1]!Models[Model_Description],[1]!Models[Cust_Name Abr],"No Customer",1)</f>
        <v>#REF!</v>
      </c>
      <c r="B131" s="8" t="s">
        <v>23</v>
      </c>
      <c r="C131" s="13" t="s">
        <v>24</v>
      </c>
      <c r="D131" s="13" t="s">
        <v>256</v>
      </c>
      <c r="E131" s="13" t="s">
        <v>261</v>
      </c>
      <c r="F131" s="13" t="s">
        <v>262</v>
      </c>
      <c r="G131" s="11">
        <v>46065</v>
      </c>
      <c r="H131" t="str">
        <f>RIGHT(E131, 7)</f>
        <v>P017255</v>
      </c>
    </row>
  </sheetData>
  <conditionalFormatting sqref="E3:F13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7382eed-c40f-41fd-bf9d-4aaf6863bd68" xsi:nil="true"/>
    <_ip_UnifiedCompliancePolicyProperties xmlns="http://schemas.microsoft.com/sharepoint/v3" xsi:nil="true"/>
    <lcf76f155ced4ddcb4097134ff3c332f xmlns="566c56f7-076d-439c-ba62-869ecba82d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43A5DEF329E46AE9C91E62576F4F6" ma:contentTypeVersion="15" ma:contentTypeDescription="Create a new document." ma:contentTypeScope="" ma:versionID="98273dfb2a2d3979d6e0303ea0e80542">
  <xsd:schema xmlns:xsd="http://www.w3.org/2001/XMLSchema" xmlns:xs="http://www.w3.org/2001/XMLSchema" xmlns:p="http://schemas.microsoft.com/office/2006/metadata/properties" xmlns:ns1="http://schemas.microsoft.com/sharepoint/v3" xmlns:ns2="566c56f7-076d-439c-ba62-869ecba82d16" xmlns:ns3="07382eed-c40f-41fd-bf9d-4aaf6863bd68" targetNamespace="http://schemas.microsoft.com/office/2006/metadata/properties" ma:root="true" ma:fieldsID="c611294bdef547eb38305b4e71ebf72f" ns1:_="" ns2:_="" ns3:_="">
    <xsd:import namespace="http://schemas.microsoft.com/sharepoint/v3"/>
    <xsd:import namespace="566c56f7-076d-439c-ba62-869ecba82d16"/>
    <xsd:import namespace="07382eed-c40f-41fd-bf9d-4aaf6863b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c56f7-076d-439c-ba62-869ecba82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12ff491-f9c0-42fe-923e-45be51610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82eed-c40f-41fd-bf9d-4aaf6863b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bd481ec-7507-4ad9-9775-dcaf658f6b60}" ma:internalName="TaxCatchAll" ma:showField="CatchAllData" ma:web="07382eed-c40f-41fd-bf9d-4aaf6863b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186373-27A8-4BE6-AB29-2A8862E3D343}"/>
</file>

<file path=customXml/itemProps2.xml><?xml version="1.0" encoding="utf-8"?>
<ds:datastoreItem xmlns:ds="http://schemas.openxmlformats.org/officeDocument/2006/customXml" ds:itemID="{073BB45F-0C26-4ED2-95CF-386688C54017}"/>
</file>

<file path=customXml/itemProps3.xml><?xml version="1.0" encoding="utf-8"?>
<ds:datastoreItem xmlns:ds="http://schemas.openxmlformats.org/officeDocument/2006/customXml" ds:itemID="{5C4196BB-1FEE-4600-88B2-2AA9B75D1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2026-10-13T04:37:50Z</dcterms:created>
  <dcterms:modified xsi:type="dcterms:W3CDTF">2026-10-16T05:21:24Z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0x01010085543A5DEF329E46AE9C91E62576F4F6</vt:lpwstr>
  </property>
  <property fmtid="{D5CDD505-2E9C-101B-9397-08002B2CF9AE}" pid="3" name="MediaServiceImageTags">
    <vt:lpwstr/>
  </property>
</Properties>
</file>